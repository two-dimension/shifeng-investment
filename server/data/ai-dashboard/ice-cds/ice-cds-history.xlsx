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w EOD Prices" state="visible" r:id="rId4"/>
    <sheet sheetId="2" name="Derived 5Y Spreads" state="visible" r:id="rId5"/>
    <sheet sheetId="3" name="Daily Dashboard" state="visible" r:id="rId6"/>
    <sheet sheetId="4" name="Discount Curves" state="visible" r:id="rId7"/>
    <sheet sheetId="5" name="Contract Registry" state="visible" r:id="rId8"/>
    <sheet sheetId="6" name="Validation Log" state="visible" r:id="rId9"/>
    <sheet sheetId="7" name="Methodology" state="visible" r:id="rId10"/>
  </sheets>
  <calcPr calcId="171027" fullCalcOnLoad="1"/>
</workbook>
</file>

<file path=xl/sharedStrings.xml><?xml version="1.0" encoding="utf-8"?>
<sst xmlns="http://schemas.openxmlformats.org/spreadsheetml/2006/main" count="2872" uniqueCount="119">
  <si>
    <t>Batch ID</t>
  </si>
  <si>
    <t>Clearing Date</t>
  </si>
  <si>
    <t>Company</t>
  </si>
  <si>
    <t>ICE Name</t>
  </si>
  <si>
    <t>Instrument Name</t>
  </si>
  <si>
    <t>EOD Price</t>
  </si>
  <si>
    <t>Source URL</t>
  </si>
  <si>
    <t>Imported At</t>
  </si>
  <si>
    <t>ice-20260824-7bf9d81a3ef7</t>
  </si>
  <si>
    <t>Oracle</t>
  </si>
  <si>
    <t>Oracle Cop</t>
  </si>
  <si>
    <t>ORCLE.SNRFOR.USD.XR14.100.2031-06-20</t>
  </si>
  <si>
    <t>Open source</t>
  </si>
  <si>
    <t>2026-08-25T08:30:08.959Z</t>
  </si>
  <si>
    <t>CoreWeave</t>
  </si>
  <si>
    <t>COREWEAVE INC</t>
  </si>
  <si>
    <t>COREWEI.SNRFOR.USD.XR14.500.2031-06-20</t>
  </si>
  <si>
    <t>NVIDIA</t>
  </si>
  <si>
    <t>NVIDIA Corp</t>
  </si>
  <si>
    <t>NVIDIA.SNRFOR.USD.XR14.100.2031-06-20</t>
  </si>
  <si>
    <t>Amazon</t>
  </si>
  <si>
    <t>Amazon Com Inc</t>
  </si>
  <si>
    <t>AMZN.SNRFOR.USD.XR14.100.2031-06-20</t>
  </si>
  <si>
    <t>Google</t>
  </si>
  <si>
    <t>Alphabet Inc</t>
  </si>
  <si>
    <t>ALPHINC.SNRFOR.USD.XR14.100.2031-06-20</t>
  </si>
  <si>
    <t>Microsoft</t>
  </si>
  <si>
    <t>Microsoft Corp</t>
  </si>
  <si>
    <t>MSFT.SNRFOR.USD.XR14.100.2031-06-20</t>
  </si>
  <si>
    <t>Meta</t>
  </si>
  <si>
    <t>META PLATFORMS INC</t>
  </si>
  <si>
    <t>METAPL.SNRFOR.USD.XR14.100.2031-06-20</t>
  </si>
  <si>
    <t>Coupon (bp)</t>
  </si>
  <si>
    <t>Spread (bp)</t>
  </si>
  <si>
    <t>Maturity Date</t>
  </si>
  <si>
    <t>Round-trip Price</t>
  </si>
  <si>
    <t>Price Residual</t>
  </si>
  <si>
    <t>Hazard Rate</t>
  </si>
  <si>
    <t>Curve ID</t>
  </si>
  <si>
    <t>Recovery Rate</t>
  </si>
  <si>
    <t>Model Version</t>
  </si>
  <si>
    <t>Quality Status</t>
  </si>
  <si>
    <t>Official Spread (bp)</t>
  </si>
  <si>
    <t>Relative Error</t>
  </si>
  <si>
    <t>screenshot-reference-20260824-v1</t>
  </si>
  <si>
    <t>SCREENSHOT.ORCLE.5Y</t>
  </si>
  <si>
    <t>screenshot-reference-not-applicable</t>
  </si>
  <si>
    <t>screenshot-backfill-v1</t>
  </si>
  <si>
    <t>stale</t>
  </si>
  <si>
    <t>SCREENSHOT.COREWEI.5Y</t>
  </si>
  <si>
    <t>SCREENSHOT.AMZN.5Y</t>
  </si>
  <si>
    <t>SCREENSHOT.ALPHINC.5Y</t>
  </si>
  <si>
    <t>SCREENSHOT.MSFT.5Y</t>
  </si>
  <si>
    <t>SCREENSHOT.METAPL.5Y</t>
  </si>
  <si>
    <t>SCREENSHOT.NVIDIA.5Y</t>
  </si>
  <si>
    <t>ust-par-zero-proxy-2026-08-24</t>
  </si>
  <si>
    <t>ice-isda-compatible-v1</t>
  </si>
  <si>
    <t>model-derived</t>
  </si>
  <si>
    <t>Date</t>
  </si>
  <si>
    <t>1D Δ (bp)</t>
  </si>
  <si>
    <t>7D Δ (bp)</t>
  </si>
  <si>
    <t>1M Δ (bp)</t>
  </si>
  <si>
    <t>As Of</t>
  </si>
  <si>
    <t>Currency</t>
  </si>
  <si>
    <t>Years</t>
  </si>
  <si>
    <t>Continuous Zero Rate</t>
  </si>
  <si>
    <t>Source Label</t>
  </si>
  <si>
    <t>USD</t>
  </si>
  <si>
    <t>U.S. Treasury par yields · continuous-zero proxy</t>
  </si>
  <si>
    <t>Aliases</t>
  </si>
  <si>
    <t>Symbols</t>
  </si>
  <si>
    <t>Tier</t>
  </si>
  <si>
    <t>Restructuring</t>
  </si>
  <si>
    <t>ORACLE COP; ORACLE CORP; ORACLE CORPORATION</t>
  </si>
  <si>
    <t>ORCLE; ORCL</t>
  </si>
  <si>
    <t>SNRFOR</t>
  </si>
  <si>
    <t>XR14</t>
  </si>
  <si>
    <t>COREWEAVE; COREWEAVE INC; COREWEAVE, INC.</t>
  </si>
  <si>
    <t>COREWEI; CRWV</t>
  </si>
  <si>
    <t>NVIDIA CORP; NVIDIA CORPORATION</t>
  </si>
  <si>
    <t>NVIDIA; NVDA</t>
  </si>
  <si>
    <t>AMAZON COM INC; AMAZON.COM INC; AMAZON INC</t>
  </si>
  <si>
    <t>AMZN</t>
  </si>
  <si>
    <t>ALPHABET INC; ALPHABET, INC.; GOOGLE INC; GOOGLE LLC</t>
  </si>
  <si>
    <t>ALPHINC; GOOG; GOOGL</t>
  </si>
  <si>
    <t>MICROSOFT CORP; MICROSOFT CORPORATION</t>
  </si>
  <si>
    <t>MSFT</t>
  </si>
  <si>
    <t>META PLATFORMS INC; META PLATFORMS, INC.; META PLATFORMS</t>
  </si>
  <si>
    <t>METAPL; META</t>
  </si>
  <si>
    <t>Created At</t>
  </si>
  <si>
    <t>Level</t>
  </si>
  <si>
    <t>Code</t>
  </si>
  <si>
    <t>Message</t>
  </si>
  <si>
    <t>ice-empty-v1</t>
  </si>
  <si>
    <t>2026-08-25T07:49:40.977Z</t>
  </si>
  <si>
    <t>info</t>
  </si>
  <si>
    <t>initialized-empty</t>
  </si>
  <si>
    <t/>
  </si>
  <si>
    <t>Initialized without screenshot or DTCC values; waiting for the first ICE EOD Price import.</t>
  </si>
  <si>
    <t>2026-08-25T08:23:39.776Z</t>
  </si>
  <si>
    <t>warning</t>
  </si>
  <si>
    <t>No official spread benchmark supplied; model-derived only</t>
  </si>
  <si>
    <t>2026-08-25T08:30:05.427Z</t>
  </si>
  <si>
    <t>screenshot-history-backfill</t>
  </si>
  <si>
    <t>2026-06-10 through 2026-08-21 history was digitized from the supplied chart image; values are visual references, not official ICE observations.</t>
  </si>
  <si>
    <t>Key</t>
  </si>
  <si>
    <t>Value</t>
  </si>
  <si>
    <t>schemaVersion</t>
  </si>
  <si>
    <t>batchId</t>
  </si>
  <si>
    <t>generatedAt</t>
  </si>
  <si>
    <t>modelVersion</t>
  </si>
  <si>
    <t>priceTolerance</t>
  </si>
  <si>
    <t>relativeBenchmarkTolerance</t>
  </si>
  <si>
    <t>note</t>
  </si>
  <si>
    <t>Model-derived unless an official spread benchmark passes validation.</t>
  </si>
  <si>
    <t>sourceDefinition</t>
  </si>
  <si>
    <t>ICE EOD Price is the source input; Spread (bp) is a model-derived estimate.</t>
  </si>
  <si>
    <t>officialStatus</t>
  </si>
  <si>
    <t>This workbook does not present model-derived spreads as official ICE spread quotations.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</si>
</sst>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yyyy-mm-dd"/>
    <numFmt numFmtId="165" formatCode="0.0000"/>
    <numFmt numFmtId="166" formatCode="0.000000"/>
    <numFmt numFmtId="167" formatCode="+0.00;[Red]-0.00;-"/>
    <numFmt numFmtId="168" formatCode="0.0000%"/>
  </numFmts>
  <fonts count="6" x14ac:knownFonts="1">
    <font>
      <color theme="1"/>
      <family val="2"/>
      <scheme val="minor"/>
      <sz val="11"/>
      <name val="Calibri"/>
    </font>
    <font>
      <b/>
      <color rgb="FFFFFFFF"/>
      <sz val="10"/>
      <name val="Aptos"/>
    </font>
    <font>
      <color rgb="FF000000"/>
      <sz val="10"/>
      <name val="Aptos"/>
    </font>
    <font>
      <u/>
      <color rgb="FFFF0000"/>
      <sz val="10"/>
      <name val="Aptos"/>
    </font>
    <font>
      <color rgb="FF008000"/>
      <sz val="10"/>
      <name val="Aptos"/>
    </font>
    <font>
      <color rgb="FF0000FF"/>
      <sz val="10"/>
      <name val="Aptos"/>
    </font>
  </fonts>
  <fills count="7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F7F9FC"/>
      </patternFill>
    </fill>
    <fill>
      <patternFill patternType="solid">
        <fgColor rgb="FFFCE4D6"/>
      </patternFill>
    </fill>
    <fill>
      <patternFill patternType="solid">
        <fgColor rgb="FFDCE6F1"/>
      </patternFill>
    </fill>
    <fill>
      <patternFill patternType="solid">
        <fgColor rgb="FFFFFF00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17365D"/>
      </bottom>
      <diagonal/>
    </border>
    <border>
      <left/>
      <right/>
      <top/>
      <bottom style="hair">
        <color rgb="FFD9E2F3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vertical="center"/>
    </xf>
    <xf numFmtId="164" fontId="2" fillId="3" borderId="2" xfId="0" applyNumberFormat="1" applyFont="1" applyFill="1" applyBorder="1" applyAlignment="1">
      <alignment vertical="center"/>
    </xf>
    <xf numFmtId="165" fontId="2" fillId="3" borderId="2" xfId="0" applyNumberFormat="1" applyFont="1" applyFill="1" applyBorder="1" applyAlignment="1">
      <alignment horizontal="right" vertical="center"/>
    </xf>
    <xf numFmtId="0" fontId="3" fillId="3" borderId="2" xfId="0" applyFont="1" applyFill="1" applyBorder="1" applyAlignment="1">
      <alignment vertical="center"/>
    </xf>
    <xf numFmtId="0" fontId="2" fillId="0" borderId="2" xfId="0" applyFont="1" applyBorder="1" applyAlignment="1">
      <alignment vertical="center"/>
    </xf>
    <xf numFmtId="164" fontId="2" fillId="0" borderId="2" xfId="0" applyNumberFormat="1" applyFont="1" applyBorder="1" applyAlignment="1">
      <alignment vertical="center"/>
    </xf>
    <xf numFmtId="165" fontId="2" fillId="0" borderId="2" xfId="0" applyNumberFormat="1" applyFont="1" applyBorder="1" applyAlignment="1">
      <alignment horizontal="right" vertical="center"/>
    </xf>
    <xf numFmtId="0" fontId="3" fillId="0" borderId="2" xfId="0" applyFont="1" applyBorder="1" applyAlignment="1">
      <alignment vertical="center"/>
    </xf>
    <xf numFmtId="2" fontId="2" fillId="3" borderId="2" xfId="0" applyNumberFormat="1" applyFont="1" applyFill="1" applyBorder="1" applyAlignment="1">
      <alignment horizontal="right" vertical="center"/>
    </xf>
    <xf numFmtId="166" fontId="2" fillId="3" borderId="2" xfId="0" applyNumberFormat="1" applyFont="1" applyFill="1" applyBorder="1" applyAlignment="1">
      <alignment horizontal="right" vertical="center"/>
    </xf>
    <xf numFmtId="10" fontId="2" fillId="3" borderId="2" xfId="0" applyNumberFormat="1" applyFont="1" applyFill="1" applyBorder="1" applyAlignment="1">
      <alignment horizontal="right" vertical="center"/>
    </xf>
    <xf numFmtId="0" fontId="2" fillId="4" borderId="2" xfId="0" applyFont="1" applyFill="1" applyBorder="1" applyAlignment="1">
      <alignment vertical="center"/>
    </xf>
    <xf numFmtId="2" fontId="2" fillId="0" borderId="2" xfId="0" applyNumberFormat="1" applyFont="1" applyBorder="1" applyAlignment="1">
      <alignment horizontal="right" vertical="center"/>
    </xf>
    <xf numFmtId="166" fontId="2" fillId="0" borderId="2" xfId="0" applyNumberFormat="1" applyFont="1" applyBorder="1" applyAlignment="1">
      <alignment horizontal="right" vertical="center"/>
    </xf>
    <xf numFmtId="10" fontId="2" fillId="0" borderId="2" xfId="0" applyNumberFormat="1" applyFont="1" applyBorder="1" applyAlignment="1">
      <alignment horizontal="right" vertical="center"/>
    </xf>
    <xf numFmtId="0" fontId="2" fillId="5" borderId="2" xfId="0" applyFont="1" applyFill="1" applyBorder="1" applyAlignment="1">
      <alignment vertical="center"/>
    </xf>
    <xf numFmtId="2" fontId="4" fillId="3" borderId="2" xfId="0" applyNumberFormat="1" applyFont="1" applyFill="1" applyBorder="1" applyAlignment="1">
      <alignment horizontal="right" vertical="center"/>
    </xf>
    <xf numFmtId="167" fontId="4" fillId="3" borderId="2" xfId="0" applyNumberFormat="1" applyFont="1" applyFill="1" applyBorder="1" applyAlignment="1">
      <alignment horizontal="right" vertical="center"/>
    </xf>
    <xf numFmtId="165" fontId="4" fillId="3" borderId="2" xfId="0" applyNumberFormat="1" applyFont="1" applyFill="1" applyBorder="1" applyAlignment="1">
      <alignment horizontal="right" vertical="center"/>
    </xf>
    <xf numFmtId="0" fontId="4" fillId="4" borderId="2" xfId="0" applyFont="1" applyFill="1" applyBorder="1" applyAlignment="1">
      <alignment vertical="center"/>
    </xf>
    <xf numFmtId="0" fontId="4" fillId="3" borderId="2" xfId="0" applyFont="1" applyFill="1" applyBorder="1" applyAlignment="1">
      <alignment vertical="center"/>
    </xf>
    <xf numFmtId="2" fontId="4" fillId="0" borderId="2" xfId="0" applyNumberFormat="1" applyFont="1" applyBorder="1" applyAlignment="1">
      <alignment horizontal="right" vertical="center"/>
    </xf>
    <xf numFmtId="167" fontId="4" fillId="0" borderId="2" xfId="0" applyNumberFormat="1" applyFont="1" applyBorder="1" applyAlignment="1">
      <alignment horizontal="right" vertical="center"/>
    </xf>
    <xf numFmtId="165" fontId="4" fillId="0" borderId="2" xfId="0" applyNumberFormat="1" applyFont="1" applyBorder="1" applyAlignment="1">
      <alignment horizontal="right" vertical="center"/>
    </xf>
    <xf numFmtId="0" fontId="4" fillId="0" borderId="2" xfId="0" applyFont="1" applyBorder="1" applyAlignment="1">
      <alignment vertical="center"/>
    </xf>
    <xf numFmtId="0" fontId="4" fillId="5" borderId="2" xfId="0" applyFont="1" applyFill="1" applyBorder="1" applyAlignment="1">
      <alignment vertical="center"/>
    </xf>
    <xf numFmtId="168" fontId="2" fillId="3" borderId="2" xfId="0" applyNumberFormat="1" applyFont="1" applyFill="1" applyBorder="1" applyAlignment="1">
      <alignment horizontal="right" vertical="center"/>
    </xf>
    <xf numFmtId="168" fontId="2" fillId="0" borderId="2" xfId="0" applyNumberFormat="1" applyFont="1" applyBorder="1" applyAlignment="1">
      <alignment horizontal="right" vertical="center"/>
    </xf>
    <xf numFmtId="0" fontId="2" fillId="3" borderId="2" xfId="0" applyFont="1" applyFill="1" applyBorder="1" applyAlignment="1">
      <alignment vertical="center" wrapText="1"/>
    </xf>
    <xf numFmtId="0" fontId="2" fillId="6" borderId="2" xfId="0" applyFont="1" applyFill="1" applyBorder="1" applyAlignment="1">
      <alignment vertical="center"/>
    </xf>
    <xf numFmtId="0" fontId="2" fillId="0" borderId="2" xfId="0" applyFont="1" applyBorder="1" applyAlignment="1">
      <alignment vertical="center" wrapText="1"/>
    </xf>
    <xf numFmtId="0" fontId="2" fillId="3" borderId="2" xfId="0" applyFont="1" applyFill="1" applyBorder="1" applyAlignment="1">
      <alignment vertical="top" wrapText="1"/>
    </xf>
    <xf numFmtId="0" fontId="2" fillId="0" borderId="2" xfId="0" applyFont="1" applyBorder="1" applyAlignment="1">
      <alignment vertical="top" wrapText="1"/>
    </xf>
    <xf numFmtId="165" fontId="5" fillId="3" borderId="2" xfId="0" applyNumberFormat="1" applyFont="1" applyFill="1" applyBorder="1" applyAlignment="1">
      <alignment vertical="top" wrapText="1"/>
    </xf>
    <xf numFmtId="10" fontId="5" fillId="0" borderId="2" xfId="0" applyNumberFormat="1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ce.com/cds-settlement-prices/icc/single-name-instruments" TargetMode="External"/><Relationship Id="rId2" Type="http://schemas.openxmlformats.org/officeDocument/2006/relationships/hyperlink" Target="https://www.ice.com/cds-settlement-prices/icc/single-name-instruments" TargetMode="External"/><Relationship Id="rId3" Type="http://schemas.openxmlformats.org/officeDocument/2006/relationships/hyperlink" Target="https://www.ice.com/cds-settlement-prices/icc/single-name-instruments" TargetMode="External"/><Relationship Id="rId4" Type="http://schemas.openxmlformats.org/officeDocument/2006/relationships/hyperlink" Target="https://www.ice.com/cds-settlement-prices/icc/single-name-instruments" TargetMode="External"/><Relationship Id="rId5" Type="http://schemas.openxmlformats.org/officeDocument/2006/relationships/hyperlink" Target="https://www.ice.com/cds-settlement-prices/icc/single-name-instruments" TargetMode="External"/><Relationship Id="rId6" Type="http://schemas.openxmlformats.org/officeDocument/2006/relationships/hyperlink" Target="https://www.ice.com/cds-settlement-prices/icc/single-name-instruments" TargetMode="External"/><Relationship Id="rId7" Type="http://schemas.openxmlformats.org/officeDocument/2006/relationships/hyperlink" Target="https://www.ice.com/cds-settlement-prices/icc/single-name-instruments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ce.com/cds-settlement-prices/icc/single-name-instruments" TargetMode="External"/><Relationship Id="rId2" Type="http://schemas.openxmlformats.org/officeDocument/2006/relationships/hyperlink" Target="https://www.ice.com/cds-settlement-prices/icc/single-name-instruments" TargetMode="External"/><Relationship Id="rId3" Type="http://schemas.openxmlformats.org/officeDocument/2006/relationships/hyperlink" Target="https://www.ice.com/cds-settlement-prices/icc/single-name-instruments" TargetMode="External"/><Relationship Id="rId4" Type="http://schemas.openxmlformats.org/officeDocument/2006/relationships/hyperlink" Target="https://www.ice.com/cds-settlement-prices/icc/single-name-instruments" TargetMode="External"/><Relationship Id="rId5" Type="http://schemas.openxmlformats.org/officeDocument/2006/relationships/hyperlink" Target="https://www.ice.com/cds-settlement-prices/icc/single-name-instruments" TargetMode="External"/><Relationship Id="rId6" Type="http://schemas.openxmlformats.org/officeDocument/2006/relationships/hyperlink" Target="https://www.ice.com/cds-settlement-prices/icc/single-name-instruments" TargetMode="External"/><Relationship Id="rId7" Type="http://schemas.openxmlformats.org/officeDocument/2006/relationships/hyperlink" Target="https://www.ice.com/cds-settlement-prices/icc/single-name-instruments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ce.com/cds-settlement-prices/icc/single-name-instruments" TargetMode="External"/><Relationship Id="rId2" Type="http://schemas.openxmlformats.org/officeDocument/2006/relationships/hyperlink" Target="https://www.ice.com/cds-settlement-prices/icc/single-name-instruments" TargetMode="External"/><Relationship Id="rId3" Type="http://schemas.openxmlformats.org/officeDocument/2006/relationships/hyperlink" Target="https://www.ice.com/cds-settlement-prices/icc/single-name-instruments" TargetMode="External"/><Relationship Id="rId4" Type="http://schemas.openxmlformats.org/officeDocument/2006/relationships/hyperlink" Target="https://www.ice.com/cds-settlement-prices/icc/single-name-instruments" TargetMode="External"/><Relationship Id="rId5" Type="http://schemas.openxmlformats.org/officeDocument/2006/relationships/hyperlink" Target="https://www.ice.com/cds-settlement-prices/icc/single-name-instruments" TargetMode="External"/><Relationship Id="rId6" Type="http://schemas.openxmlformats.org/officeDocument/2006/relationships/hyperlink" Target="https://www.ice.com/cds-settlement-prices/icc/single-name-instruments" TargetMode="External"/><Relationship Id="rId7" Type="http://schemas.openxmlformats.org/officeDocument/2006/relationships/hyperlink" Target="https://www.ice.com/cds-settlement-prices/icc/single-name-instruments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home.treasury.gov/resource-center/data-chart-center/interest-rates" TargetMode="External"/><Relationship Id="rId2" Type="http://schemas.openxmlformats.org/officeDocument/2006/relationships/hyperlink" Target="https://home.treasury.gov/resource-center/data-chart-center/interest-rates" TargetMode="External"/><Relationship Id="rId3" Type="http://schemas.openxmlformats.org/officeDocument/2006/relationships/hyperlink" Target="https://home.treasury.gov/resource-center/data-chart-center/interest-rates" TargetMode="External"/><Relationship Id="rId4" Type="http://schemas.openxmlformats.org/officeDocument/2006/relationships/hyperlink" Target="https://home.treasury.gov/resource-center/data-chart-center/interest-rates" TargetMode="External"/><Relationship Id="rId5" Type="http://schemas.openxmlformats.org/officeDocument/2006/relationships/hyperlink" Target="https://home.treasury.gov/resource-center/data-chart-center/interest-rates" TargetMode="External"/><Relationship Id="rId6" Type="http://schemas.openxmlformats.org/officeDocument/2006/relationships/hyperlink" Target="https://home.treasury.gov/resource-center/data-chart-center/interest-rates" TargetMode="External"/><Relationship Id="rId7" Type="http://schemas.openxmlformats.org/officeDocument/2006/relationships/hyperlink" Target="https://home.treasury.gov/resource-center/data-chart-center/interest-rates" TargetMode="External"/><Relationship Id="rId8" Type="http://schemas.openxmlformats.org/officeDocument/2006/relationships/hyperlink" Target="https://home.treasury.gov/resource-center/data-chart-center/interest-rates" TargetMode="External"/><Relationship Id="rId9" Type="http://schemas.openxmlformats.org/officeDocument/2006/relationships/hyperlink" Target="https://home.treasury.gov/resource-center/data-chart-center/interest-rates" TargetMode="External"/><Relationship Id="rId10" Type="http://schemas.openxmlformats.org/officeDocument/2006/relationships/hyperlink" Target="https://home.treasury.gov/resource-center/data-chart-center/interest-rates" TargetMode="External"/><Relationship Id="rId11" Type="http://schemas.openxmlformats.org/officeDocument/2006/relationships/hyperlink" Target="https://home.treasury.gov/resource-center/data-chart-center/interest-rates" TargetMode="External"/><Relationship Id="rId12" Type="http://schemas.openxmlformats.org/officeDocument/2006/relationships/hyperlink" Target="https://home.treasury.gov/resource-center/data-chart-center/interest-rates" TargetMode="External"/><Relationship Id="rId13" Type="http://schemas.openxmlformats.org/officeDocument/2006/relationships/hyperlink" Target="https://home.treasury.gov/resource-center/data-chart-center/interest-rates" TargetMode="External"/><Relationship Id="rId14" Type="http://schemas.openxmlformats.org/officeDocument/2006/relationships/hyperlink" Target="https://home.treasury.gov/resource-center/data-chart-center/interest-rat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18" outlineLevelRow="0" outlineLevelCol="0" x14ac:dyDescent="55" customHeight="1"/>
  <cols>
    <col min="1" max="1" width="24" customWidth="1"/>
    <col min="2" max="2" width="14" customWidth="1"/>
    <col min="3" max="3" width="16" customWidth="1"/>
    <col min="4" max="4" width="24" customWidth="1"/>
    <col min="5" max="5" width="42" customWidth="1"/>
    <col min="6" max="6" width="14" customWidth="1"/>
    <col min="7" max="7" width="18" customWidth="1"/>
    <col min="8" max="8" width="25" customWidth="1"/>
  </cols>
  <sheetData>
    <row r="1" ht="28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8</v>
      </c>
      <c r="B2" s="3">
        <v>46258</v>
      </c>
      <c r="C2" s="2" t="s">
        <v>9</v>
      </c>
      <c r="D2" s="2" t="s">
        <v>10</v>
      </c>
      <c r="E2" s="2" t="s">
        <v>11</v>
      </c>
      <c r="F2" s="4">
        <v>95.0309</v>
      </c>
      <c r="G2" s="5" t="s">
        <v>12</v>
      </c>
      <c r="H2" s="2" t="s">
        <v>13</v>
      </c>
    </row>
    <row r="3" spans="1:8" x14ac:dyDescent="0.25">
      <c r="A3" s="6" t="s">
        <v>8</v>
      </c>
      <c r="B3" s="7">
        <v>46258</v>
      </c>
      <c r="C3" s="6" t="s">
        <v>14</v>
      </c>
      <c r="D3" s="6" t="s">
        <v>15</v>
      </c>
      <c r="E3" s="6" t="s">
        <v>16</v>
      </c>
      <c r="F3" s="8">
        <v>90.0135</v>
      </c>
      <c r="G3" s="9" t="s">
        <v>12</v>
      </c>
      <c r="H3" s="6" t="s">
        <v>13</v>
      </c>
    </row>
    <row r="4" spans="1:8" x14ac:dyDescent="0.25">
      <c r="A4" s="2" t="s">
        <v>8</v>
      </c>
      <c r="B4" s="3">
        <v>46258</v>
      </c>
      <c r="C4" s="2" t="s">
        <v>17</v>
      </c>
      <c r="D4" s="2" t="s">
        <v>18</v>
      </c>
      <c r="E4" s="2" t="s">
        <v>19</v>
      </c>
      <c r="F4" s="4">
        <v>100.5487</v>
      </c>
      <c r="G4" s="5" t="s">
        <v>12</v>
      </c>
      <c r="H4" s="2" t="s">
        <v>13</v>
      </c>
    </row>
    <row r="5" spans="1:8" x14ac:dyDescent="0.25">
      <c r="A5" s="6" t="s">
        <v>8</v>
      </c>
      <c r="B5" s="7">
        <v>46258</v>
      </c>
      <c r="C5" s="6" t="s">
        <v>20</v>
      </c>
      <c r="D5" s="6" t="s">
        <v>21</v>
      </c>
      <c r="E5" s="6" t="s">
        <v>22</v>
      </c>
      <c r="F5" s="8">
        <v>101.4668</v>
      </c>
      <c r="G5" s="9" t="s">
        <v>12</v>
      </c>
      <c r="H5" s="6" t="s">
        <v>13</v>
      </c>
    </row>
    <row r="6" spans="1:8" x14ac:dyDescent="0.25">
      <c r="A6" s="2" t="s">
        <v>8</v>
      </c>
      <c r="B6" s="3">
        <v>46258</v>
      </c>
      <c r="C6" s="2" t="s">
        <v>23</v>
      </c>
      <c r="D6" s="2" t="s">
        <v>24</v>
      </c>
      <c r="E6" s="2" t="s">
        <v>25</v>
      </c>
      <c r="F6" s="4">
        <v>101.7418</v>
      </c>
      <c r="G6" s="5" t="s">
        <v>12</v>
      </c>
      <c r="H6" s="2" t="s">
        <v>13</v>
      </c>
    </row>
    <row r="7" spans="1:8" x14ac:dyDescent="0.25">
      <c r="A7" s="6" t="s">
        <v>8</v>
      </c>
      <c r="B7" s="7">
        <v>46258</v>
      </c>
      <c r="C7" s="6" t="s">
        <v>26</v>
      </c>
      <c r="D7" s="6" t="s">
        <v>27</v>
      </c>
      <c r="E7" s="6" t="s">
        <v>28</v>
      </c>
      <c r="F7" s="8">
        <v>102.2015</v>
      </c>
      <c r="G7" s="9" t="s">
        <v>12</v>
      </c>
      <c r="H7" s="6" t="s">
        <v>13</v>
      </c>
    </row>
    <row r="8" spans="1:8" x14ac:dyDescent="0.25">
      <c r="A8" s="2" t="s">
        <v>8</v>
      </c>
      <c r="B8" s="3">
        <v>46258</v>
      </c>
      <c r="C8" s="2" t="s">
        <v>29</v>
      </c>
      <c r="D8" s="2" t="s">
        <v>30</v>
      </c>
      <c r="E8" s="2" t="s">
        <v>31</v>
      </c>
      <c r="F8" s="4">
        <v>100.1232</v>
      </c>
      <c r="G8" s="5" t="s">
        <v>12</v>
      </c>
      <c r="H8" s="2" t="s">
        <v>13</v>
      </c>
    </row>
  </sheetData>
  <autoFilter ref="A1:H1"/>
  <hyperlinks>
    <hyperlink ref="G2" r:id="rId1" tooltip="https://www.ice.com/cds-settlement-prices/icc/single-name-instruments"/>
    <hyperlink ref="G3" r:id="rId2" tooltip="https://www.ice.com/cds-settlement-prices/icc/single-name-instruments"/>
    <hyperlink ref="G4" r:id="rId3" tooltip="https://www.ice.com/cds-settlement-prices/icc/single-name-instruments"/>
    <hyperlink ref="G5" r:id="rId4" tooltip="https://www.ice.com/cds-settlement-prices/icc/single-name-instruments"/>
    <hyperlink ref="G6" r:id="rId5" tooltip="https://www.ice.com/cds-settlement-prices/icc/single-name-instruments"/>
    <hyperlink ref="G7" r:id="rId6" tooltip="https://www.ice.com/cds-settlement-prices/icc/single-name-instruments"/>
    <hyperlink ref="G8" r:id="rId7" tooltip="https://www.ice.com/cds-settlement-prices/icc/single-name-instruments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71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18" outlineLevelRow="0" outlineLevelCol="0" x14ac:dyDescent="55" customHeight="1"/>
  <cols>
    <col min="1" max="1" width="24" customWidth="1"/>
    <col min="2" max="2" width="14" customWidth="1"/>
    <col min="3" max="3" width="16" customWidth="1"/>
    <col min="4" max="4" width="42" customWidth="1"/>
    <col min="5" max="6" width="13" customWidth="1"/>
    <col min="7" max="8" width="14" customWidth="1"/>
    <col min="9" max="9" width="17" customWidth="1"/>
    <col min="10" max="10" width="15" customWidth="1"/>
    <col min="11" max="11" width="14" customWidth="1"/>
    <col min="12" max="12" width="30" customWidth="1"/>
    <col min="13" max="13" width="14" customWidth="1"/>
    <col min="14" max="14" width="26" customWidth="1"/>
    <col min="15" max="15" width="18" customWidth="1"/>
    <col min="16" max="16" width="20" customWidth="1"/>
    <col min="17" max="17" width="16" customWidth="1"/>
    <col min="18" max="18" width="18" customWidth="1"/>
  </cols>
  <sheetData>
    <row r="1" ht="28" customHeight="1" spans="1:18" x14ac:dyDescent="0.25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6</v>
      </c>
    </row>
    <row r="2" spans="1:18" x14ac:dyDescent="0.25">
      <c r="A2" s="2" t="s">
        <v>44</v>
      </c>
      <c r="B2" s="3">
        <v>46183</v>
      </c>
      <c r="C2" s="2" t="s">
        <v>9</v>
      </c>
      <c r="D2" s="2" t="s">
        <v>45</v>
      </c>
      <c r="E2" s="4"/>
      <c r="F2" s="10">
        <v>100</v>
      </c>
      <c r="G2" s="10">
        <v>160</v>
      </c>
      <c r="H2" s="3">
        <v>48019</v>
      </c>
      <c r="I2" s="4"/>
      <c r="J2" s="11"/>
      <c r="K2" s="11"/>
      <c r="L2" s="2" t="s">
        <v>46</v>
      </c>
      <c r="M2" s="12">
        <v>0.4</v>
      </c>
      <c r="N2" s="2" t="s">
        <v>47</v>
      </c>
      <c r="O2" s="13" t="s">
        <v>48</v>
      </c>
      <c r="P2" s="10"/>
      <c r="Q2" s="12"/>
      <c r="R2" s="5"/>
    </row>
    <row r="3" spans="1:18" x14ac:dyDescent="0.25">
      <c r="A3" s="6" t="s">
        <v>44</v>
      </c>
      <c r="B3" s="7">
        <v>46183</v>
      </c>
      <c r="C3" s="6" t="s">
        <v>14</v>
      </c>
      <c r="D3" s="6" t="s">
        <v>49</v>
      </c>
      <c r="E3" s="8"/>
      <c r="F3" s="14">
        <v>500</v>
      </c>
      <c r="G3" s="14">
        <v>510</v>
      </c>
      <c r="H3" s="7">
        <v>48019</v>
      </c>
      <c r="I3" s="8"/>
      <c r="J3" s="15"/>
      <c r="K3" s="15"/>
      <c r="L3" s="6" t="s">
        <v>46</v>
      </c>
      <c r="M3" s="16">
        <v>0.4</v>
      </c>
      <c r="N3" s="6" t="s">
        <v>47</v>
      </c>
      <c r="O3" s="13" t="s">
        <v>48</v>
      </c>
      <c r="P3" s="14"/>
      <c r="Q3" s="16"/>
      <c r="R3" s="9"/>
    </row>
    <row r="4" spans="1:18" x14ac:dyDescent="0.25">
      <c r="A4" s="2" t="s">
        <v>44</v>
      </c>
      <c r="B4" s="3">
        <v>46183</v>
      </c>
      <c r="C4" s="2" t="s">
        <v>20</v>
      </c>
      <c r="D4" s="2" t="s">
        <v>50</v>
      </c>
      <c r="E4" s="4"/>
      <c r="F4" s="10">
        <v>100</v>
      </c>
      <c r="G4" s="10">
        <v>51</v>
      </c>
      <c r="H4" s="3">
        <v>48019</v>
      </c>
      <c r="I4" s="4"/>
      <c r="J4" s="11"/>
      <c r="K4" s="11"/>
      <c r="L4" s="2" t="s">
        <v>46</v>
      </c>
      <c r="M4" s="12">
        <v>0.4</v>
      </c>
      <c r="N4" s="2" t="s">
        <v>47</v>
      </c>
      <c r="O4" s="13" t="s">
        <v>48</v>
      </c>
      <c r="P4" s="10"/>
      <c r="Q4" s="12"/>
      <c r="R4" s="5"/>
    </row>
    <row r="5" spans="1:18" x14ac:dyDescent="0.25">
      <c r="A5" s="6" t="s">
        <v>44</v>
      </c>
      <c r="B5" s="7">
        <v>46183</v>
      </c>
      <c r="C5" s="6" t="s">
        <v>23</v>
      </c>
      <c r="D5" s="6" t="s">
        <v>51</v>
      </c>
      <c r="E5" s="8"/>
      <c r="F5" s="14">
        <v>100</v>
      </c>
      <c r="G5" s="14">
        <v>50</v>
      </c>
      <c r="H5" s="7">
        <v>48019</v>
      </c>
      <c r="I5" s="8"/>
      <c r="J5" s="15"/>
      <c r="K5" s="15"/>
      <c r="L5" s="6" t="s">
        <v>46</v>
      </c>
      <c r="M5" s="16">
        <v>0.4</v>
      </c>
      <c r="N5" s="6" t="s">
        <v>47</v>
      </c>
      <c r="O5" s="13" t="s">
        <v>48</v>
      </c>
      <c r="P5" s="14"/>
      <c r="Q5" s="16"/>
      <c r="R5" s="9"/>
    </row>
    <row r="6" spans="1:18" x14ac:dyDescent="0.25">
      <c r="A6" s="2" t="s">
        <v>44</v>
      </c>
      <c r="B6" s="3">
        <v>46183</v>
      </c>
      <c r="C6" s="2" t="s">
        <v>26</v>
      </c>
      <c r="D6" s="2" t="s">
        <v>52</v>
      </c>
      <c r="E6" s="4"/>
      <c r="F6" s="10">
        <v>100</v>
      </c>
      <c r="G6" s="10">
        <v>39</v>
      </c>
      <c r="H6" s="3">
        <v>48019</v>
      </c>
      <c r="I6" s="4"/>
      <c r="J6" s="11"/>
      <c r="K6" s="11"/>
      <c r="L6" s="2" t="s">
        <v>46</v>
      </c>
      <c r="M6" s="12">
        <v>0.4</v>
      </c>
      <c r="N6" s="2" t="s">
        <v>47</v>
      </c>
      <c r="O6" s="13" t="s">
        <v>48</v>
      </c>
      <c r="P6" s="10"/>
      <c r="Q6" s="12"/>
      <c r="R6" s="5"/>
    </row>
    <row r="7" spans="1:18" x14ac:dyDescent="0.25">
      <c r="A7" s="6" t="s">
        <v>44</v>
      </c>
      <c r="B7" s="7">
        <v>46183</v>
      </c>
      <c r="C7" s="6" t="s">
        <v>29</v>
      </c>
      <c r="D7" s="6" t="s">
        <v>53</v>
      </c>
      <c r="E7" s="8"/>
      <c r="F7" s="14">
        <v>100</v>
      </c>
      <c r="G7" s="14">
        <v>71</v>
      </c>
      <c r="H7" s="7">
        <v>48019</v>
      </c>
      <c r="I7" s="8"/>
      <c r="J7" s="15"/>
      <c r="K7" s="15"/>
      <c r="L7" s="6" t="s">
        <v>46</v>
      </c>
      <c r="M7" s="16">
        <v>0.4</v>
      </c>
      <c r="N7" s="6" t="s">
        <v>47</v>
      </c>
      <c r="O7" s="13" t="s">
        <v>48</v>
      </c>
      <c r="P7" s="14"/>
      <c r="Q7" s="16"/>
      <c r="R7" s="9"/>
    </row>
    <row r="8" spans="1:18" x14ac:dyDescent="0.25">
      <c r="A8" s="2" t="s">
        <v>44</v>
      </c>
      <c r="B8" s="3">
        <v>46184</v>
      </c>
      <c r="C8" s="2" t="s">
        <v>9</v>
      </c>
      <c r="D8" s="2" t="s">
        <v>45</v>
      </c>
      <c r="E8" s="4"/>
      <c r="F8" s="10">
        <v>100</v>
      </c>
      <c r="G8" s="10">
        <v>158.8</v>
      </c>
      <c r="H8" s="3">
        <v>48019</v>
      </c>
      <c r="I8" s="4"/>
      <c r="J8" s="11"/>
      <c r="K8" s="11"/>
      <c r="L8" s="2" t="s">
        <v>46</v>
      </c>
      <c r="M8" s="12">
        <v>0.4</v>
      </c>
      <c r="N8" s="2" t="s">
        <v>47</v>
      </c>
      <c r="O8" s="13" t="s">
        <v>48</v>
      </c>
      <c r="P8" s="10"/>
      <c r="Q8" s="12"/>
      <c r="R8" s="5"/>
    </row>
    <row r="9" spans="1:18" x14ac:dyDescent="0.25">
      <c r="A9" s="6" t="s">
        <v>44</v>
      </c>
      <c r="B9" s="7">
        <v>46184</v>
      </c>
      <c r="C9" s="6" t="s">
        <v>14</v>
      </c>
      <c r="D9" s="6" t="s">
        <v>49</v>
      </c>
      <c r="E9" s="8"/>
      <c r="F9" s="14">
        <v>500</v>
      </c>
      <c r="G9" s="14">
        <v>505.71</v>
      </c>
      <c r="H9" s="7">
        <v>48019</v>
      </c>
      <c r="I9" s="8"/>
      <c r="J9" s="15"/>
      <c r="K9" s="15"/>
      <c r="L9" s="6" t="s">
        <v>46</v>
      </c>
      <c r="M9" s="16">
        <v>0.4</v>
      </c>
      <c r="N9" s="6" t="s">
        <v>47</v>
      </c>
      <c r="O9" s="13" t="s">
        <v>48</v>
      </c>
      <c r="P9" s="14"/>
      <c r="Q9" s="16"/>
      <c r="R9" s="9"/>
    </row>
    <row r="10" spans="1:18" x14ac:dyDescent="0.25">
      <c r="A10" s="2" t="s">
        <v>44</v>
      </c>
      <c r="B10" s="3">
        <v>46184</v>
      </c>
      <c r="C10" s="2" t="s">
        <v>20</v>
      </c>
      <c r="D10" s="2" t="s">
        <v>50</v>
      </c>
      <c r="E10" s="4"/>
      <c r="F10" s="10">
        <v>100</v>
      </c>
      <c r="G10" s="10">
        <v>50.86</v>
      </c>
      <c r="H10" s="3">
        <v>48019</v>
      </c>
      <c r="I10" s="4"/>
      <c r="J10" s="11"/>
      <c r="K10" s="11"/>
      <c r="L10" s="2" t="s">
        <v>46</v>
      </c>
      <c r="M10" s="12">
        <v>0.4</v>
      </c>
      <c r="N10" s="2" t="s">
        <v>47</v>
      </c>
      <c r="O10" s="13" t="s">
        <v>48</v>
      </c>
      <c r="P10" s="10"/>
      <c r="Q10" s="12"/>
      <c r="R10" s="5"/>
    </row>
    <row r="11" spans="1:18" x14ac:dyDescent="0.25">
      <c r="A11" s="6" t="s">
        <v>44</v>
      </c>
      <c r="B11" s="7">
        <v>46184</v>
      </c>
      <c r="C11" s="6" t="s">
        <v>23</v>
      </c>
      <c r="D11" s="6" t="s">
        <v>51</v>
      </c>
      <c r="E11" s="8"/>
      <c r="F11" s="14">
        <v>100</v>
      </c>
      <c r="G11" s="14">
        <v>49.86</v>
      </c>
      <c r="H11" s="7">
        <v>48019</v>
      </c>
      <c r="I11" s="8"/>
      <c r="J11" s="15"/>
      <c r="K11" s="15"/>
      <c r="L11" s="6" t="s">
        <v>46</v>
      </c>
      <c r="M11" s="16">
        <v>0.4</v>
      </c>
      <c r="N11" s="6" t="s">
        <v>47</v>
      </c>
      <c r="O11" s="13" t="s">
        <v>48</v>
      </c>
      <c r="P11" s="14"/>
      <c r="Q11" s="16"/>
      <c r="R11" s="9"/>
    </row>
    <row r="12" spans="1:18" x14ac:dyDescent="0.25">
      <c r="A12" s="2" t="s">
        <v>44</v>
      </c>
      <c r="B12" s="3">
        <v>46184</v>
      </c>
      <c r="C12" s="2" t="s">
        <v>26</v>
      </c>
      <c r="D12" s="2" t="s">
        <v>52</v>
      </c>
      <c r="E12" s="4"/>
      <c r="F12" s="10">
        <v>100</v>
      </c>
      <c r="G12" s="10">
        <v>38.86</v>
      </c>
      <c r="H12" s="3">
        <v>48019</v>
      </c>
      <c r="I12" s="4"/>
      <c r="J12" s="11"/>
      <c r="K12" s="11"/>
      <c r="L12" s="2" t="s">
        <v>46</v>
      </c>
      <c r="M12" s="12">
        <v>0.4</v>
      </c>
      <c r="N12" s="2" t="s">
        <v>47</v>
      </c>
      <c r="O12" s="13" t="s">
        <v>48</v>
      </c>
      <c r="P12" s="10"/>
      <c r="Q12" s="12"/>
      <c r="R12" s="5"/>
    </row>
    <row r="13" spans="1:18" x14ac:dyDescent="0.25">
      <c r="A13" s="6" t="s">
        <v>44</v>
      </c>
      <c r="B13" s="7">
        <v>46184</v>
      </c>
      <c r="C13" s="6" t="s">
        <v>29</v>
      </c>
      <c r="D13" s="6" t="s">
        <v>53</v>
      </c>
      <c r="E13" s="8"/>
      <c r="F13" s="14">
        <v>100</v>
      </c>
      <c r="G13" s="14">
        <v>70.71</v>
      </c>
      <c r="H13" s="7">
        <v>48019</v>
      </c>
      <c r="I13" s="8"/>
      <c r="J13" s="15"/>
      <c r="K13" s="15"/>
      <c r="L13" s="6" t="s">
        <v>46</v>
      </c>
      <c r="M13" s="16">
        <v>0.4</v>
      </c>
      <c r="N13" s="6" t="s">
        <v>47</v>
      </c>
      <c r="O13" s="13" t="s">
        <v>48</v>
      </c>
      <c r="P13" s="14"/>
      <c r="Q13" s="16"/>
      <c r="R13" s="9"/>
    </row>
    <row r="14" spans="1:18" x14ac:dyDescent="0.25">
      <c r="A14" s="2" t="s">
        <v>44</v>
      </c>
      <c r="B14" s="3">
        <v>46185</v>
      </c>
      <c r="C14" s="2" t="s">
        <v>9</v>
      </c>
      <c r="D14" s="2" t="s">
        <v>45</v>
      </c>
      <c r="E14" s="4"/>
      <c r="F14" s="10">
        <v>100</v>
      </c>
      <c r="G14" s="10">
        <v>157.6</v>
      </c>
      <c r="H14" s="3">
        <v>48019</v>
      </c>
      <c r="I14" s="4"/>
      <c r="J14" s="11"/>
      <c r="K14" s="11"/>
      <c r="L14" s="2" t="s">
        <v>46</v>
      </c>
      <c r="M14" s="12">
        <v>0.4</v>
      </c>
      <c r="N14" s="2" t="s">
        <v>47</v>
      </c>
      <c r="O14" s="13" t="s">
        <v>48</v>
      </c>
      <c r="P14" s="10"/>
      <c r="Q14" s="12"/>
      <c r="R14" s="5"/>
    </row>
    <row r="15" spans="1:18" x14ac:dyDescent="0.25">
      <c r="A15" s="6" t="s">
        <v>44</v>
      </c>
      <c r="B15" s="7">
        <v>46185</v>
      </c>
      <c r="C15" s="6" t="s">
        <v>14</v>
      </c>
      <c r="D15" s="6" t="s">
        <v>49</v>
      </c>
      <c r="E15" s="8"/>
      <c r="F15" s="14">
        <v>500</v>
      </c>
      <c r="G15" s="14">
        <v>501.43</v>
      </c>
      <c r="H15" s="7">
        <v>48019</v>
      </c>
      <c r="I15" s="8"/>
      <c r="J15" s="15"/>
      <c r="K15" s="15"/>
      <c r="L15" s="6" t="s">
        <v>46</v>
      </c>
      <c r="M15" s="16">
        <v>0.4</v>
      </c>
      <c r="N15" s="6" t="s">
        <v>47</v>
      </c>
      <c r="O15" s="13" t="s">
        <v>48</v>
      </c>
      <c r="P15" s="14"/>
      <c r="Q15" s="16"/>
      <c r="R15" s="9"/>
    </row>
    <row r="16" spans="1:18" x14ac:dyDescent="0.25">
      <c r="A16" s="2" t="s">
        <v>44</v>
      </c>
      <c r="B16" s="3">
        <v>46185</v>
      </c>
      <c r="C16" s="2" t="s">
        <v>20</v>
      </c>
      <c r="D16" s="2" t="s">
        <v>50</v>
      </c>
      <c r="E16" s="4"/>
      <c r="F16" s="10">
        <v>100</v>
      </c>
      <c r="G16" s="10">
        <v>50.71</v>
      </c>
      <c r="H16" s="3">
        <v>48019</v>
      </c>
      <c r="I16" s="4"/>
      <c r="J16" s="11"/>
      <c r="K16" s="11"/>
      <c r="L16" s="2" t="s">
        <v>46</v>
      </c>
      <c r="M16" s="12">
        <v>0.4</v>
      </c>
      <c r="N16" s="2" t="s">
        <v>47</v>
      </c>
      <c r="O16" s="13" t="s">
        <v>48</v>
      </c>
      <c r="P16" s="10"/>
      <c r="Q16" s="12"/>
      <c r="R16" s="5"/>
    </row>
    <row r="17" spans="1:18" x14ac:dyDescent="0.25">
      <c r="A17" s="6" t="s">
        <v>44</v>
      </c>
      <c r="B17" s="7">
        <v>46185</v>
      </c>
      <c r="C17" s="6" t="s">
        <v>23</v>
      </c>
      <c r="D17" s="6" t="s">
        <v>51</v>
      </c>
      <c r="E17" s="8"/>
      <c r="F17" s="14">
        <v>100</v>
      </c>
      <c r="G17" s="14">
        <v>49.71</v>
      </c>
      <c r="H17" s="7">
        <v>48019</v>
      </c>
      <c r="I17" s="8"/>
      <c r="J17" s="15"/>
      <c r="K17" s="15"/>
      <c r="L17" s="6" t="s">
        <v>46</v>
      </c>
      <c r="M17" s="16">
        <v>0.4</v>
      </c>
      <c r="N17" s="6" t="s">
        <v>47</v>
      </c>
      <c r="O17" s="13" t="s">
        <v>48</v>
      </c>
      <c r="P17" s="14"/>
      <c r="Q17" s="16"/>
      <c r="R17" s="9"/>
    </row>
    <row r="18" spans="1:18" x14ac:dyDescent="0.25">
      <c r="A18" s="2" t="s">
        <v>44</v>
      </c>
      <c r="B18" s="3">
        <v>46185</v>
      </c>
      <c r="C18" s="2" t="s">
        <v>26</v>
      </c>
      <c r="D18" s="2" t="s">
        <v>52</v>
      </c>
      <c r="E18" s="4"/>
      <c r="F18" s="10">
        <v>100</v>
      </c>
      <c r="G18" s="10">
        <v>38.71</v>
      </c>
      <c r="H18" s="3">
        <v>48019</v>
      </c>
      <c r="I18" s="4"/>
      <c r="J18" s="11"/>
      <c r="K18" s="11"/>
      <c r="L18" s="2" t="s">
        <v>46</v>
      </c>
      <c r="M18" s="12">
        <v>0.4</v>
      </c>
      <c r="N18" s="2" t="s">
        <v>47</v>
      </c>
      <c r="O18" s="13" t="s">
        <v>48</v>
      </c>
      <c r="P18" s="10"/>
      <c r="Q18" s="12"/>
      <c r="R18" s="5"/>
    </row>
    <row r="19" spans="1:18" x14ac:dyDescent="0.25">
      <c r="A19" s="6" t="s">
        <v>44</v>
      </c>
      <c r="B19" s="7">
        <v>46185</v>
      </c>
      <c r="C19" s="6" t="s">
        <v>29</v>
      </c>
      <c r="D19" s="6" t="s">
        <v>53</v>
      </c>
      <c r="E19" s="8"/>
      <c r="F19" s="14">
        <v>100</v>
      </c>
      <c r="G19" s="14">
        <v>70.43</v>
      </c>
      <c r="H19" s="7">
        <v>48019</v>
      </c>
      <c r="I19" s="8"/>
      <c r="J19" s="15"/>
      <c r="K19" s="15"/>
      <c r="L19" s="6" t="s">
        <v>46</v>
      </c>
      <c r="M19" s="16">
        <v>0.4</v>
      </c>
      <c r="N19" s="6" t="s">
        <v>47</v>
      </c>
      <c r="O19" s="13" t="s">
        <v>48</v>
      </c>
      <c r="P19" s="14"/>
      <c r="Q19" s="16"/>
      <c r="R19" s="9"/>
    </row>
    <row r="20" spans="1:18" x14ac:dyDescent="0.25">
      <c r="A20" s="2" t="s">
        <v>44</v>
      </c>
      <c r="B20" s="3">
        <v>46188</v>
      </c>
      <c r="C20" s="2" t="s">
        <v>9</v>
      </c>
      <c r="D20" s="2" t="s">
        <v>45</v>
      </c>
      <c r="E20" s="4"/>
      <c r="F20" s="10">
        <v>100</v>
      </c>
      <c r="G20" s="10">
        <v>154</v>
      </c>
      <c r="H20" s="3">
        <v>48019</v>
      </c>
      <c r="I20" s="4"/>
      <c r="J20" s="11"/>
      <c r="K20" s="11"/>
      <c r="L20" s="2" t="s">
        <v>46</v>
      </c>
      <c r="M20" s="12">
        <v>0.4</v>
      </c>
      <c r="N20" s="2" t="s">
        <v>47</v>
      </c>
      <c r="O20" s="13" t="s">
        <v>48</v>
      </c>
      <c r="P20" s="10"/>
      <c r="Q20" s="12"/>
      <c r="R20" s="5"/>
    </row>
    <row r="21" spans="1:18" x14ac:dyDescent="0.25">
      <c r="A21" s="6" t="s">
        <v>44</v>
      </c>
      <c r="B21" s="7">
        <v>46188</v>
      </c>
      <c r="C21" s="6" t="s">
        <v>14</v>
      </c>
      <c r="D21" s="6" t="s">
        <v>49</v>
      </c>
      <c r="E21" s="8"/>
      <c r="F21" s="14">
        <v>500</v>
      </c>
      <c r="G21" s="14">
        <v>488.57</v>
      </c>
      <c r="H21" s="7">
        <v>48019</v>
      </c>
      <c r="I21" s="8"/>
      <c r="J21" s="15"/>
      <c r="K21" s="15"/>
      <c r="L21" s="6" t="s">
        <v>46</v>
      </c>
      <c r="M21" s="16">
        <v>0.4</v>
      </c>
      <c r="N21" s="6" t="s">
        <v>47</v>
      </c>
      <c r="O21" s="13" t="s">
        <v>48</v>
      </c>
      <c r="P21" s="14"/>
      <c r="Q21" s="16"/>
      <c r="R21" s="9"/>
    </row>
    <row r="22" spans="1:18" x14ac:dyDescent="0.25">
      <c r="A22" s="2" t="s">
        <v>44</v>
      </c>
      <c r="B22" s="3">
        <v>46188</v>
      </c>
      <c r="C22" s="2" t="s">
        <v>20</v>
      </c>
      <c r="D22" s="2" t="s">
        <v>50</v>
      </c>
      <c r="E22" s="4"/>
      <c r="F22" s="10">
        <v>100</v>
      </c>
      <c r="G22" s="10">
        <v>50.29</v>
      </c>
      <c r="H22" s="3">
        <v>48019</v>
      </c>
      <c r="I22" s="4"/>
      <c r="J22" s="11"/>
      <c r="K22" s="11"/>
      <c r="L22" s="2" t="s">
        <v>46</v>
      </c>
      <c r="M22" s="12">
        <v>0.4</v>
      </c>
      <c r="N22" s="2" t="s">
        <v>47</v>
      </c>
      <c r="O22" s="13" t="s">
        <v>48</v>
      </c>
      <c r="P22" s="10"/>
      <c r="Q22" s="12"/>
      <c r="R22" s="5"/>
    </row>
    <row r="23" spans="1:18" x14ac:dyDescent="0.25">
      <c r="A23" s="6" t="s">
        <v>44</v>
      </c>
      <c r="B23" s="7">
        <v>46188</v>
      </c>
      <c r="C23" s="6" t="s">
        <v>23</v>
      </c>
      <c r="D23" s="6" t="s">
        <v>51</v>
      </c>
      <c r="E23" s="8"/>
      <c r="F23" s="14">
        <v>100</v>
      </c>
      <c r="G23" s="14">
        <v>49.29</v>
      </c>
      <c r="H23" s="7">
        <v>48019</v>
      </c>
      <c r="I23" s="8"/>
      <c r="J23" s="15"/>
      <c r="K23" s="15"/>
      <c r="L23" s="6" t="s">
        <v>46</v>
      </c>
      <c r="M23" s="16">
        <v>0.4</v>
      </c>
      <c r="N23" s="6" t="s">
        <v>47</v>
      </c>
      <c r="O23" s="13" t="s">
        <v>48</v>
      </c>
      <c r="P23" s="14"/>
      <c r="Q23" s="16"/>
      <c r="R23" s="9"/>
    </row>
    <row r="24" spans="1:18" x14ac:dyDescent="0.25">
      <c r="A24" s="2" t="s">
        <v>44</v>
      </c>
      <c r="B24" s="3">
        <v>46188</v>
      </c>
      <c r="C24" s="2" t="s">
        <v>26</v>
      </c>
      <c r="D24" s="2" t="s">
        <v>52</v>
      </c>
      <c r="E24" s="4"/>
      <c r="F24" s="10">
        <v>100</v>
      </c>
      <c r="G24" s="10">
        <v>38.29</v>
      </c>
      <c r="H24" s="3">
        <v>48019</v>
      </c>
      <c r="I24" s="4"/>
      <c r="J24" s="11"/>
      <c r="K24" s="11"/>
      <c r="L24" s="2" t="s">
        <v>46</v>
      </c>
      <c r="M24" s="12">
        <v>0.4</v>
      </c>
      <c r="N24" s="2" t="s">
        <v>47</v>
      </c>
      <c r="O24" s="13" t="s">
        <v>48</v>
      </c>
      <c r="P24" s="10"/>
      <c r="Q24" s="12"/>
      <c r="R24" s="5"/>
    </row>
    <row r="25" spans="1:18" x14ac:dyDescent="0.25">
      <c r="A25" s="6" t="s">
        <v>44</v>
      </c>
      <c r="B25" s="7">
        <v>46188</v>
      </c>
      <c r="C25" s="6" t="s">
        <v>29</v>
      </c>
      <c r="D25" s="6" t="s">
        <v>53</v>
      </c>
      <c r="E25" s="8"/>
      <c r="F25" s="14">
        <v>100</v>
      </c>
      <c r="G25" s="14">
        <v>69.57</v>
      </c>
      <c r="H25" s="7">
        <v>48019</v>
      </c>
      <c r="I25" s="8"/>
      <c r="J25" s="15"/>
      <c r="K25" s="15"/>
      <c r="L25" s="6" t="s">
        <v>46</v>
      </c>
      <c r="M25" s="16">
        <v>0.4</v>
      </c>
      <c r="N25" s="6" t="s">
        <v>47</v>
      </c>
      <c r="O25" s="13" t="s">
        <v>48</v>
      </c>
      <c r="P25" s="14"/>
      <c r="Q25" s="16"/>
      <c r="R25" s="9"/>
    </row>
    <row r="26" spans="1:18" x14ac:dyDescent="0.25">
      <c r="A26" s="2" t="s">
        <v>44</v>
      </c>
      <c r="B26" s="3">
        <v>46189</v>
      </c>
      <c r="C26" s="2" t="s">
        <v>9</v>
      </c>
      <c r="D26" s="2" t="s">
        <v>45</v>
      </c>
      <c r="E26" s="4"/>
      <c r="F26" s="10">
        <v>100</v>
      </c>
      <c r="G26" s="10">
        <v>154.86</v>
      </c>
      <c r="H26" s="3">
        <v>48019</v>
      </c>
      <c r="I26" s="4"/>
      <c r="J26" s="11"/>
      <c r="K26" s="11"/>
      <c r="L26" s="2" t="s">
        <v>46</v>
      </c>
      <c r="M26" s="12">
        <v>0.4</v>
      </c>
      <c r="N26" s="2" t="s">
        <v>47</v>
      </c>
      <c r="O26" s="13" t="s">
        <v>48</v>
      </c>
      <c r="P26" s="10"/>
      <c r="Q26" s="12"/>
      <c r="R26" s="5"/>
    </row>
    <row r="27" spans="1:18" x14ac:dyDescent="0.25">
      <c r="A27" s="6" t="s">
        <v>44</v>
      </c>
      <c r="B27" s="7">
        <v>46189</v>
      </c>
      <c r="C27" s="6" t="s">
        <v>14</v>
      </c>
      <c r="D27" s="6" t="s">
        <v>49</v>
      </c>
      <c r="E27" s="8"/>
      <c r="F27" s="14">
        <v>500</v>
      </c>
      <c r="G27" s="14">
        <v>484.29</v>
      </c>
      <c r="H27" s="7">
        <v>48019</v>
      </c>
      <c r="I27" s="8"/>
      <c r="J27" s="15"/>
      <c r="K27" s="15"/>
      <c r="L27" s="6" t="s">
        <v>46</v>
      </c>
      <c r="M27" s="16">
        <v>0.4</v>
      </c>
      <c r="N27" s="6" t="s">
        <v>47</v>
      </c>
      <c r="O27" s="13" t="s">
        <v>48</v>
      </c>
      <c r="P27" s="14"/>
      <c r="Q27" s="16"/>
      <c r="R27" s="9"/>
    </row>
    <row r="28" spans="1:18" x14ac:dyDescent="0.25">
      <c r="A28" s="2" t="s">
        <v>44</v>
      </c>
      <c r="B28" s="3">
        <v>46189</v>
      </c>
      <c r="C28" s="2" t="s">
        <v>20</v>
      </c>
      <c r="D28" s="2" t="s">
        <v>50</v>
      </c>
      <c r="E28" s="4"/>
      <c r="F28" s="10">
        <v>100</v>
      </c>
      <c r="G28" s="10">
        <v>50.14</v>
      </c>
      <c r="H28" s="3">
        <v>48019</v>
      </c>
      <c r="I28" s="4"/>
      <c r="J28" s="11"/>
      <c r="K28" s="11"/>
      <c r="L28" s="2" t="s">
        <v>46</v>
      </c>
      <c r="M28" s="12">
        <v>0.4</v>
      </c>
      <c r="N28" s="2" t="s">
        <v>47</v>
      </c>
      <c r="O28" s="13" t="s">
        <v>48</v>
      </c>
      <c r="P28" s="10"/>
      <c r="Q28" s="12"/>
      <c r="R28" s="5"/>
    </row>
    <row r="29" spans="1:18" x14ac:dyDescent="0.25">
      <c r="A29" s="6" t="s">
        <v>44</v>
      </c>
      <c r="B29" s="7">
        <v>46189</v>
      </c>
      <c r="C29" s="6" t="s">
        <v>23</v>
      </c>
      <c r="D29" s="6" t="s">
        <v>51</v>
      </c>
      <c r="E29" s="8"/>
      <c r="F29" s="14">
        <v>100</v>
      </c>
      <c r="G29" s="14">
        <v>49.14</v>
      </c>
      <c r="H29" s="7">
        <v>48019</v>
      </c>
      <c r="I29" s="8"/>
      <c r="J29" s="15"/>
      <c r="K29" s="15"/>
      <c r="L29" s="6" t="s">
        <v>46</v>
      </c>
      <c r="M29" s="16">
        <v>0.4</v>
      </c>
      <c r="N29" s="6" t="s">
        <v>47</v>
      </c>
      <c r="O29" s="13" t="s">
        <v>48</v>
      </c>
      <c r="P29" s="14"/>
      <c r="Q29" s="16"/>
      <c r="R29" s="9"/>
    </row>
    <row r="30" spans="1:18" x14ac:dyDescent="0.25">
      <c r="A30" s="2" t="s">
        <v>44</v>
      </c>
      <c r="B30" s="3">
        <v>46189</v>
      </c>
      <c r="C30" s="2" t="s">
        <v>26</v>
      </c>
      <c r="D30" s="2" t="s">
        <v>52</v>
      </c>
      <c r="E30" s="4"/>
      <c r="F30" s="10">
        <v>100</v>
      </c>
      <c r="G30" s="10">
        <v>38.14</v>
      </c>
      <c r="H30" s="3">
        <v>48019</v>
      </c>
      <c r="I30" s="4"/>
      <c r="J30" s="11"/>
      <c r="K30" s="11"/>
      <c r="L30" s="2" t="s">
        <v>46</v>
      </c>
      <c r="M30" s="12">
        <v>0.4</v>
      </c>
      <c r="N30" s="2" t="s">
        <v>47</v>
      </c>
      <c r="O30" s="13" t="s">
        <v>48</v>
      </c>
      <c r="P30" s="10"/>
      <c r="Q30" s="12"/>
      <c r="R30" s="5"/>
    </row>
    <row r="31" spans="1:18" x14ac:dyDescent="0.25">
      <c r="A31" s="6" t="s">
        <v>44</v>
      </c>
      <c r="B31" s="7">
        <v>46189</v>
      </c>
      <c r="C31" s="6" t="s">
        <v>29</v>
      </c>
      <c r="D31" s="6" t="s">
        <v>53</v>
      </c>
      <c r="E31" s="8"/>
      <c r="F31" s="14">
        <v>100</v>
      </c>
      <c r="G31" s="14">
        <v>69.29</v>
      </c>
      <c r="H31" s="7">
        <v>48019</v>
      </c>
      <c r="I31" s="8"/>
      <c r="J31" s="15"/>
      <c r="K31" s="15"/>
      <c r="L31" s="6" t="s">
        <v>46</v>
      </c>
      <c r="M31" s="16">
        <v>0.4</v>
      </c>
      <c r="N31" s="6" t="s">
        <v>47</v>
      </c>
      <c r="O31" s="13" t="s">
        <v>48</v>
      </c>
      <c r="P31" s="14"/>
      <c r="Q31" s="16"/>
      <c r="R31" s="9"/>
    </row>
    <row r="32" spans="1:18" x14ac:dyDescent="0.25">
      <c r="A32" s="2" t="s">
        <v>44</v>
      </c>
      <c r="B32" s="3">
        <v>46190</v>
      </c>
      <c r="C32" s="2" t="s">
        <v>9</v>
      </c>
      <c r="D32" s="2" t="s">
        <v>45</v>
      </c>
      <c r="E32" s="4"/>
      <c r="F32" s="10">
        <v>100</v>
      </c>
      <c r="G32" s="10">
        <v>155.71</v>
      </c>
      <c r="H32" s="3">
        <v>48019</v>
      </c>
      <c r="I32" s="4"/>
      <c r="J32" s="11"/>
      <c r="K32" s="11"/>
      <c r="L32" s="2" t="s">
        <v>46</v>
      </c>
      <c r="M32" s="12">
        <v>0.4</v>
      </c>
      <c r="N32" s="2" t="s">
        <v>47</v>
      </c>
      <c r="O32" s="13" t="s">
        <v>48</v>
      </c>
      <c r="P32" s="10"/>
      <c r="Q32" s="12"/>
      <c r="R32" s="5"/>
    </row>
    <row r="33" spans="1:18" x14ac:dyDescent="0.25">
      <c r="A33" s="6" t="s">
        <v>44</v>
      </c>
      <c r="B33" s="7">
        <v>46190</v>
      </c>
      <c r="C33" s="6" t="s">
        <v>14</v>
      </c>
      <c r="D33" s="6" t="s">
        <v>49</v>
      </c>
      <c r="E33" s="8"/>
      <c r="F33" s="14">
        <v>500</v>
      </c>
      <c r="G33" s="14">
        <v>480</v>
      </c>
      <c r="H33" s="7">
        <v>48019</v>
      </c>
      <c r="I33" s="8"/>
      <c r="J33" s="15"/>
      <c r="K33" s="15"/>
      <c r="L33" s="6" t="s">
        <v>46</v>
      </c>
      <c r="M33" s="16">
        <v>0.4</v>
      </c>
      <c r="N33" s="6" t="s">
        <v>47</v>
      </c>
      <c r="O33" s="13" t="s">
        <v>48</v>
      </c>
      <c r="P33" s="14"/>
      <c r="Q33" s="16"/>
      <c r="R33" s="9"/>
    </row>
    <row r="34" spans="1:18" x14ac:dyDescent="0.25">
      <c r="A34" s="2" t="s">
        <v>44</v>
      </c>
      <c r="B34" s="3">
        <v>46190</v>
      </c>
      <c r="C34" s="2" t="s">
        <v>20</v>
      </c>
      <c r="D34" s="2" t="s">
        <v>50</v>
      </c>
      <c r="E34" s="4"/>
      <c r="F34" s="10">
        <v>100</v>
      </c>
      <c r="G34" s="10">
        <v>50</v>
      </c>
      <c r="H34" s="3">
        <v>48019</v>
      </c>
      <c r="I34" s="4"/>
      <c r="J34" s="11"/>
      <c r="K34" s="11"/>
      <c r="L34" s="2" t="s">
        <v>46</v>
      </c>
      <c r="M34" s="12">
        <v>0.4</v>
      </c>
      <c r="N34" s="2" t="s">
        <v>47</v>
      </c>
      <c r="O34" s="13" t="s">
        <v>48</v>
      </c>
      <c r="P34" s="10"/>
      <c r="Q34" s="12"/>
      <c r="R34" s="5"/>
    </row>
    <row r="35" spans="1:18" x14ac:dyDescent="0.25">
      <c r="A35" s="6" t="s">
        <v>44</v>
      </c>
      <c r="B35" s="7">
        <v>46190</v>
      </c>
      <c r="C35" s="6" t="s">
        <v>23</v>
      </c>
      <c r="D35" s="6" t="s">
        <v>51</v>
      </c>
      <c r="E35" s="8"/>
      <c r="F35" s="14">
        <v>100</v>
      </c>
      <c r="G35" s="14">
        <v>49</v>
      </c>
      <c r="H35" s="7">
        <v>48019</v>
      </c>
      <c r="I35" s="8"/>
      <c r="J35" s="15"/>
      <c r="K35" s="15"/>
      <c r="L35" s="6" t="s">
        <v>46</v>
      </c>
      <c r="M35" s="16">
        <v>0.4</v>
      </c>
      <c r="N35" s="6" t="s">
        <v>47</v>
      </c>
      <c r="O35" s="13" t="s">
        <v>48</v>
      </c>
      <c r="P35" s="14"/>
      <c r="Q35" s="16"/>
      <c r="R35" s="9"/>
    </row>
    <row r="36" spans="1:18" x14ac:dyDescent="0.25">
      <c r="A36" s="2" t="s">
        <v>44</v>
      </c>
      <c r="B36" s="3">
        <v>46190</v>
      </c>
      <c r="C36" s="2" t="s">
        <v>26</v>
      </c>
      <c r="D36" s="2" t="s">
        <v>52</v>
      </c>
      <c r="E36" s="4"/>
      <c r="F36" s="10">
        <v>100</v>
      </c>
      <c r="G36" s="10">
        <v>38</v>
      </c>
      <c r="H36" s="3">
        <v>48019</v>
      </c>
      <c r="I36" s="4"/>
      <c r="J36" s="11"/>
      <c r="K36" s="11"/>
      <c r="L36" s="2" t="s">
        <v>46</v>
      </c>
      <c r="M36" s="12">
        <v>0.4</v>
      </c>
      <c r="N36" s="2" t="s">
        <v>47</v>
      </c>
      <c r="O36" s="13" t="s">
        <v>48</v>
      </c>
      <c r="P36" s="10"/>
      <c r="Q36" s="12"/>
      <c r="R36" s="5"/>
    </row>
    <row r="37" spans="1:18" x14ac:dyDescent="0.25">
      <c r="A37" s="6" t="s">
        <v>44</v>
      </c>
      <c r="B37" s="7">
        <v>46190</v>
      </c>
      <c r="C37" s="6" t="s">
        <v>29</v>
      </c>
      <c r="D37" s="6" t="s">
        <v>53</v>
      </c>
      <c r="E37" s="8"/>
      <c r="F37" s="14">
        <v>100</v>
      </c>
      <c r="G37" s="14">
        <v>69</v>
      </c>
      <c r="H37" s="7">
        <v>48019</v>
      </c>
      <c r="I37" s="8"/>
      <c r="J37" s="15"/>
      <c r="K37" s="15"/>
      <c r="L37" s="6" t="s">
        <v>46</v>
      </c>
      <c r="M37" s="16">
        <v>0.4</v>
      </c>
      <c r="N37" s="6" t="s">
        <v>47</v>
      </c>
      <c r="O37" s="13" t="s">
        <v>48</v>
      </c>
      <c r="P37" s="14"/>
      <c r="Q37" s="16"/>
      <c r="R37" s="9"/>
    </row>
    <row r="38" spans="1:18" x14ac:dyDescent="0.25">
      <c r="A38" s="2" t="s">
        <v>44</v>
      </c>
      <c r="B38" s="3">
        <v>46191</v>
      </c>
      <c r="C38" s="2" t="s">
        <v>9</v>
      </c>
      <c r="D38" s="2" t="s">
        <v>45</v>
      </c>
      <c r="E38" s="4"/>
      <c r="F38" s="10">
        <v>100</v>
      </c>
      <c r="G38" s="10">
        <v>156.57</v>
      </c>
      <c r="H38" s="3">
        <v>48019</v>
      </c>
      <c r="I38" s="4"/>
      <c r="J38" s="11"/>
      <c r="K38" s="11"/>
      <c r="L38" s="2" t="s">
        <v>46</v>
      </c>
      <c r="M38" s="12">
        <v>0.4</v>
      </c>
      <c r="N38" s="2" t="s">
        <v>47</v>
      </c>
      <c r="O38" s="13" t="s">
        <v>48</v>
      </c>
      <c r="P38" s="10"/>
      <c r="Q38" s="12"/>
      <c r="R38" s="5"/>
    </row>
    <row r="39" spans="1:18" x14ac:dyDescent="0.25">
      <c r="A39" s="6" t="s">
        <v>44</v>
      </c>
      <c r="B39" s="7">
        <v>46191</v>
      </c>
      <c r="C39" s="6" t="s">
        <v>14</v>
      </c>
      <c r="D39" s="6" t="s">
        <v>49</v>
      </c>
      <c r="E39" s="8"/>
      <c r="F39" s="14">
        <v>500</v>
      </c>
      <c r="G39" s="14">
        <v>490.71</v>
      </c>
      <c r="H39" s="7">
        <v>48019</v>
      </c>
      <c r="I39" s="8"/>
      <c r="J39" s="15"/>
      <c r="K39" s="15"/>
      <c r="L39" s="6" t="s">
        <v>46</v>
      </c>
      <c r="M39" s="16">
        <v>0.4</v>
      </c>
      <c r="N39" s="6" t="s">
        <v>47</v>
      </c>
      <c r="O39" s="13" t="s">
        <v>48</v>
      </c>
      <c r="P39" s="14"/>
      <c r="Q39" s="16"/>
      <c r="R39" s="9"/>
    </row>
    <row r="40" spans="1:18" x14ac:dyDescent="0.25">
      <c r="A40" s="2" t="s">
        <v>44</v>
      </c>
      <c r="B40" s="3">
        <v>46191</v>
      </c>
      <c r="C40" s="2" t="s">
        <v>20</v>
      </c>
      <c r="D40" s="2" t="s">
        <v>50</v>
      </c>
      <c r="E40" s="4"/>
      <c r="F40" s="10">
        <v>100</v>
      </c>
      <c r="G40" s="10">
        <v>50.57</v>
      </c>
      <c r="H40" s="3">
        <v>48019</v>
      </c>
      <c r="I40" s="4"/>
      <c r="J40" s="11"/>
      <c r="K40" s="11"/>
      <c r="L40" s="2" t="s">
        <v>46</v>
      </c>
      <c r="M40" s="12">
        <v>0.4</v>
      </c>
      <c r="N40" s="2" t="s">
        <v>47</v>
      </c>
      <c r="O40" s="13" t="s">
        <v>48</v>
      </c>
      <c r="P40" s="10"/>
      <c r="Q40" s="12"/>
      <c r="R40" s="5"/>
    </row>
    <row r="41" spans="1:18" x14ac:dyDescent="0.25">
      <c r="A41" s="6" t="s">
        <v>44</v>
      </c>
      <c r="B41" s="7">
        <v>46191</v>
      </c>
      <c r="C41" s="6" t="s">
        <v>23</v>
      </c>
      <c r="D41" s="6" t="s">
        <v>51</v>
      </c>
      <c r="E41" s="8"/>
      <c r="F41" s="14">
        <v>100</v>
      </c>
      <c r="G41" s="14">
        <v>49.43</v>
      </c>
      <c r="H41" s="7">
        <v>48019</v>
      </c>
      <c r="I41" s="8"/>
      <c r="J41" s="15"/>
      <c r="K41" s="15"/>
      <c r="L41" s="6" t="s">
        <v>46</v>
      </c>
      <c r="M41" s="16">
        <v>0.4</v>
      </c>
      <c r="N41" s="6" t="s">
        <v>47</v>
      </c>
      <c r="O41" s="13" t="s">
        <v>48</v>
      </c>
      <c r="P41" s="14"/>
      <c r="Q41" s="16"/>
      <c r="R41" s="9"/>
    </row>
    <row r="42" spans="1:18" x14ac:dyDescent="0.25">
      <c r="A42" s="2" t="s">
        <v>44</v>
      </c>
      <c r="B42" s="3">
        <v>46191</v>
      </c>
      <c r="C42" s="2" t="s">
        <v>26</v>
      </c>
      <c r="D42" s="2" t="s">
        <v>52</v>
      </c>
      <c r="E42" s="4"/>
      <c r="F42" s="10">
        <v>100</v>
      </c>
      <c r="G42" s="10">
        <v>38.29</v>
      </c>
      <c r="H42" s="3">
        <v>48019</v>
      </c>
      <c r="I42" s="4"/>
      <c r="J42" s="11"/>
      <c r="K42" s="11"/>
      <c r="L42" s="2" t="s">
        <v>46</v>
      </c>
      <c r="M42" s="12">
        <v>0.4</v>
      </c>
      <c r="N42" s="2" t="s">
        <v>47</v>
      </c>
      <c r="O42" s="13" t="s">
        <v>48</v>
      </c>
      <c r="P42" s="10"/>
      <c r="Q42" s="12"/>
      <c r="R42" s="5"/>
    </row>
    <row r="43" spans="1:18" x14ac:dyDescent="0.25">
      <c r="A43" s="6" t="s">
        <v>44</v>
      </c>
      <c r="B43" s="7">
        <v>46191</v>
      </c>
      <c r="C43" s="6" t="s">
        <v>29</v>
      </c>
      <c r="D43" s="6" t="s">
        <v>53</v>
      </c>
      <c r="E43" s="8"/>
      <c r="F43" s="14">
        <v>100</v>
      </c>
      <c r="G43" s="14">
        <v>69.29</v>
      </c>
      <c r="H43" s="7">
        <v>48019</v>
      </c>
      <c r="I43" s="8"/>
      <c r="J43" s="15"/>
      <c r="K43" s="15"/>
      <c r="L43" s="6" t="s">
        <v>46</v>
      </c>
      <c r="M43" s="16">
        <v>0.4</v>
      </c>
      <c r="N43" s="6" t="s">
        <v>47</v>
      </c>
      <c r="O43" s="13" t="s">
        <v>48</v>
      </c>
      <c r="P43" s="14"/>
      <c r="Q43" s="16"/>
      <c r="R43" s="9"/>
    </row>
    <row r="44" spans="1:18" x14ac:dyDescent="0.25">
      <c r="A44" s="2" t="s">
        <v>44</v>
      </c>
      <c r="B44" s="3">
        <v>46192</v>
      </c>
      <c r="C44" s="2" t="s">
        <v>9</v>
      </c>
      <c r="D44" s="2" t="s">
        <v>45</v>
      </c>
      <c r="E44" s="4"/>
      <c r="F44" s="10">
        <v>100</v>
      </c>
      <c r="G44" s="10">
        <v>157.43</v>
      </c>
      <c r="H44" s="3">
        <v>48019</v>
      </c>
      <c r="I44" s="4"/>
      <c r="J44" s="11"/>
      <c r="K44" s="11"/>
      <c r="L44" s="2" t="s">
        <v>46</v>
      </c>
      <c r="M44" s="12">
        <v>0.4</v>
      </c>
      <c r="N44" s="2" t="s">
        <v>47</v>
      </c>
      <c r="O44" s="13" t="s">
        <v>48</v>
      </c>
      <c r="P44" s="10"/>
      <c r="Q44" s="12"/>
      <c r="R44" s="5"/>
    </row>
    <row r="45" spans="1:18" x14ac:dyDescent="0.25">
      <c r="A45" s="6" t="s">
        <v>44</v>
      </c>
      <c r="B45" s="7">
        <v>46192</v>
      </c>
      <c r="C45" s="6" t="s">
        <v>14</v>
      </c>
      <c r="D45" s="6" t="s">
        <v>49</v>
      </c>
      <c r="E45" s="8"/>
      <c r="F45" s="14">
        <v>500</v>
      </c>
      <c r="G45" s="14">
        <v>501.43</v>
      </c>
      <c r="H45" s="7">
        <v>48019</v>
      </c>
      <c r="I45" s="8"/>
      <c r="J45" s="15"/>
      <c r="K45" s="15"/>
      <c r="L45" s="6" t="s">
        <v>46</v>
      </c>
      <c r="M45" s="16">
        <v>0.4</v>
      </c>
      <c r="N45" s="6" t="s">
        <v>47</v>
      </c>
      <c r="O45" s="13" t="s">
        <v>48</v>
      </c>
      <c r="P45" s="14"/>
      <c r="Q45" s="16"/>
      <c r="R45" s="9"/>
    </row>
    <row r="46" spans="1:18" x14ac:dyDescent="0.25">
      <c r="A46" s="2" t="s">
        <v>44</v>
      </c>
      <c r="B46" s="3">
        <v>46192</v>
      </c>
      <c r="C46" s="2" t="s">
        <v>20</v>
      </c>
      <c r="D46" s="2" t="s">
        <v>50</v>
      </c>
      <c r="E46" s="4"/>
      <c r="F46" s="10">
        <v>100</v>
      </c>
      <c r="G46" s="10">
        <v>51.14</v>
      </c>
      <c r="H46" s="3">
        <v>48019</v>
      </c>
      <c r="I46" s="4"/>
      <c r="J46" s="11"/>
      <c r="K46" s="11"/>
      <c r="L46" s="2" t="s">
        <v>46</v>
      </c>
      <c r="M46" s="12">
        <v>0.4</v>
      </c>
      <c r="N46" s="2" t="s">
        <v>47</v>
      </c>
      <c r="O46" s="13" t="s">
        <v>48</v>
      </c>
      <c r="P46" s="10"/>
      <c r="Q46" s="12"/>
      <c r="R46" s="5"/>
    </row>
    <row r="47" spans="1:18" x14ac:dyDescent="0.25">
      <c r="A47" s="6" t="s">
        <v>44</v>
      </c>
      <c r="B47" s="7">
        <v>46192</v>
      </c>
      <c r="C47" s="6" t="s">
        <v>23</v>
      </c>
      <c r="D47" s="6" t="s">
        <v>51</v>
      </c>
      <c r="E47" s="8"/>
      <c r="F47" s="14">
        <v>100</v>
      </c>
      <c r="G47" s="14">
        <v>49.86</v>
      </c>
      <c r="H47" s="7">
        <v>48019</v>
      </c>
      <c r="I47" s="8"/>
      <c r="J47" s="15"/>
      <c r="K47" s="15"/>
      <c r="L47" s="6" t="s">
        <v>46</v>
      </c>
      <c r="M47" s="16">
        <v>0.4</v>
      </c>
      <c r="N47" s="6" t="s">
        <v>47</v>
      </c>
      <c r="O47" s="13" t="s">
        <v>48</v>
      </c>
      <c r="P47" s="14"/>
      <c r="Q47" s="16"/>
      <c r="R47" s="9"/>
    </row>
    <row r="48" spans="1:18" x14ac:dyDescent="0.25">
      <c r="A48" s="2" t="s">
        <v>44</v>
      </c>
      <c r="B48" s="3">
        <v>46192</v>
      </c>
      <c r="C48" s="2" t="s">
        <v>26</v>
      </c>
      <c r="D48" s="2" t="s">
        <v>52</v>
      </c>
      <c r="E48" s="4"/>
      <c r="F48" s="10">
        <v>100</v>
      </c>
      <c r="G48" s="10">
        <v>38.57</v>
      </c>
      <c r="H48" s="3">
        <v>48019</v>
      </c>
      <c r="I48" s="4"/>
      <c r="J48" s="11"/>
      <c r="K48" s="11"/>
      <c r="L48" s="2" t="s">
        <v>46</v>
      </c>
      <c r="M48" s="12">
        <v>0.4</v>
      </c>
      <c r="N48" s="2" t="s">
        <v>47</v>
      </c>
      <c r="O48" s="13" t="s">
        <v>48</v>
      </c>
      <c r="P48" s="10"/>
      <c r="Q48" s="12"/>
      <c r="R48" s="5"/>
    </row>
    <row r="49" spans="1:18" x14ac:dyDescent="0.25">
      <c r="A49" s="6" t="s">
        <v>44</v>
      </c>
      <c r="B49" s="7">
        <v>46192</v>
      </c>
      <c r="C49" s="6" t="s">
        <v>29</v>
      </c>
      <c r="D49" s="6" t="s">
        <v>53</v>
      </c>
      <c r="E49" s="8"/>
      <c r="F49" s="14">
        <v>100</v>
      </c>
      <c r="G49" s="14">
        <v>69.57</v>
      </c>
      <c r="H49" s="7">
        <v>48019</v>
      </c>
      <c r="I49" s="8"/>
      <c r="J49" s="15"/>
      <c r="K49" s="15"/>
      <c r="L49" s="6" t="s">
        <v>46</v>
      </c>
      <c r="M49" s="16">
        <v>0.4</v>
      </c>
      <c r="N49" s="6" t="s">
        <v>47</v>
      </c>
      <c r="O49" s="13" t="s">
        <v>48</v>
      </c>
      <c r="P49" s="14"/>
      <c r="Q49" s="16"/>
      <c r="R49" s="9"/>
    </row>
    <row r="50" spans="1:18" x14ac:dyDescent="0.25">
      <c r="A50" s="2" t="s">
        <v>44</v>
      </c>
      <c r="B50" s="3">
        <v>46195</v>
      </c>
      <c r="C50" s="2" t="s">
        <v>9</v>
      </c>
      <c r="D50" s="2" t="s">
        <v>45</v>
      </c>
      <c r="E50" s="4"/>
      <c r="F50" s="10">
        <v>100</v>
      </c>
      <c r="G50" s="10">
        <v>160</v>
      </c>
      <c r="H50" s="3">
        <v>48019</v>
      </c>
      <c r="I50" s="4"/>
      <c r="J50" s="11"/>
      <c r="K50" s="11"/>
      <c r="L50" s="2" t="s">
        <v>46</v>
      </c>
      <c r="M50" s="12">
        <v>0.4</v>
      </c>
      <c r="N50" s="2" t="s">
        <v>47</v>
      </c>
      <c r="O50" s="13" t="s">
        <v>48</v>
      </c>
      <c r="P50" s="10"/>
      <c r="Q50" s="12"/>
      <c r="R50" s="5"/>
    </row>
    <row r="51" spans="1:18" x14ac:dyDescent="0.25">
      <c r="A51" s="6" t="s">
        <v>44</v>
      </c>
      <c r="B51" s="7">
        <v>46195</v>
      </c>
      <c r="C51" s="6" t="s">
        <v>14</v>
      </c>
      <c r="D51" s="6" t="s">
        <v>49</v>
      </c>
      <c r="E51" s="8"/>
      <c r="F51" s="14">
        <v>500</v>
      </c>
      <c r="G51" s="14">
        <v>533.57</v>
      </c>
      <c r="H51" s="7">
        <v>48019</v>
      </c>
      <c r="I51" s="8"/>
      <c r="J51" s="15"/>
      <c r="K51" s="15"/>
      <c r="L51" s="6" t="s">
        <v>46</v>
      </c>
      <c r="M51" s="16">
        <v>0.4</v>
      </c>
      <c r="N51" s="6" t="s">
        <v>47</v>
      </c>
      <c r="O51" s="13" t="s">
        <v>48</v>
      </c>
      <c r="P51" s="14"/>
      <c r="Q51" s="16"/>
      <c r="R51" s="9"/>
    </row>
    <row r="52" spans="1:18" x14ac:dyDescent="0.25">
      <c r="A52" s="2" t="s">
        <v>44</v>
      </c>
      <c r="B52" s="3">
        <v>46195</v>
      </c>
      <c r="C52" s="2" t="s">
        <v>17</v>
      </c>
      <c r="D52" s="2" t="s">
        <v>54</v>
      </c>
      <c r="E52" s="4"/>
      <c r="F52" s="10">
        <v>100</v>
      </c>
      <c r="G52" s="10">
        <v>40</v>
      </c>
      <c r="H52" s="3">
        <v>48019</v>
      </c>
      <c r="I52" s="4"/>
      <c r="J52" s="11"/>
      <c r="K52" s="11"/>
      <c r="L52" s="2" t="s">
        <v>46</v>
      </c>
      <c r="M52" s="12">
        <v>0.4</v>
      </c>
      <c r="N52" s="2" t="s">
        <v>47</v>
      </c>
      <c r="O52" s="13" t="s">
        <v>48</v>
      </c>
      <c r="P52" s="10"/>
      <c r="Q52" s="12"/>
      <c r="R52" s="5"/>
    </row>
    <row r="53" spans="1:18" x14ac:dyDescent="0.25">
      <c r="A53" s="6" t="s">
        <v>44</v>
      </c>
      <c r="B53" s="7">
        <v>46195</v>
      </c>
      <c r="C53" s="6" t="s">
        <v>20</v>
      </c>
      <c r="D53" s="6" t="s">
        <v>50</v>
      </c>
      <c r="E53" s="8"/>
      <c r="F53" s="14">
        <v>100</v>
      </c>
      <c r="G53" s="14">
        <v>52.86</v>
      </c>
      <c r="H53" s="7">
        <v>48019</v>
      </c>
      <c r="I53" s="8"/>
      <c r="J53" s="15"/>
      <c r="K53" s="15"/>
      <c r="L53" s="6" t="s">
        <v>46</v>
      </c>
      <c r="M53" s="16">
        <v>0.4</v>
      </c>
      <c r="N53" s="6" t="s">
        <v>47</v>
      </c>
      <c r="O53" s="13" t="s">
        <v>48</v>
      </c>
      <c r="P53" s="14"/>
      <c r="Q53" s="16"/>
      <c r="R53" s="9"/>
    </row>
    <row r="54" spans="1:18" x14ac:dyDescent="0.25">
      <c r="A54" s="2" t="s">
        <v>44</v>
      </c>
      <c r="B54" s="3">
        <v>46195</v>
      </c>
      <c r="C54" s="2" t="s">
        <v>23</v>
      </c>
      <c r="D54" s="2" t="s">
        <v>51</v>
      </c>
      <c r="E54" s="4"/>
      <c r="F54" s="10">
        <v>100</v>
      </c>
      <c r="G54" s="10">
        <v>51.14</v>
      </c>
      <c r="H54" s="3">
        <v>48019</v>
      </c>
      <c r="I54" s="4"/>
      <c r="J54" s="11"/>
      <c r="K54" s="11"/>
      <c r="L54" s="2" t="s">
        <v>46</v>
      </c>
      <c r="M54" s="12">
        <v>0.4</v>
      </c>
      <c r="N54" s="2" t="s">
        <v>47</v>
      </c>
      <c r="O54" s="13" t="s">
        <v>48</v>
      </c>
      <c r="P54" s="10"/>
      <c r="Q54" s="12"/>
      <c r="R54" s="5"/>
    </row>
    <row r="55" spans="1:18" x14ac:dyDescent="0.25">
      <c r="A55" s="6" t="s">
        <v>44</v>
      </c>
      <c r="B55" s="7">
        <v>46195</v>
      </c>
      <c r="C55" s="6" t="s">
        <v>26</v>
      </c>
      <c r="D55" s="6" t="s">
        <v>52</v>
      </c>
      <c r="E55" s="8"/>
      <c r="F55" s="14">
        <v>100</v>
      </c>
      <c r="G55" s="14">
        <v>39.43</v>
      </c>
      <c r="H55" s="7">
        <v>48019</v>
      </c>
      <c r="I55" s="8"/>
      <c r="J55" s="15"/>
      <c r="K55" s="15"/>
      <c r="L55" s="6" t="s">
        <v>46</v>
      </c>
      <c r="M55" s="16">
        <v>0.4</v>
      </c>
      <c r="N55" s="6" t="s">
        <v>47</v>
      </c>
      <c r="O55" s="13" t="s">
        <v>48</v>
      </c>
      <c r="P55" s="14"/>
      <c r="Q55" s="16"/>
      <c r="R55" s="9"/>
    </row>
    <row r="56" spans="1:18" x14ac:dyDescent="0.25">
      <c r="A56" s="2" t="s">
        <v>44</v>
      </c>
      <c r="B56" s="3">
        <v>46195</v>
      </c>
      <c r="C56" s="2" t="s">
        <v>29</v>
      </c>
      <c r="D56" s="2" t="s">
        <v>53</v>
      </c>
      <c r="E56" s="4"/>
      <c r="F56" s="10">
        <v>100</v>
      </c>
      <c r="G56" s="10">
        <v>70.43</v>
      </c>
      <c r="H56" s="3">
        <v>48019</v>
      </c>
      <c r="I56" s="4"/>
      <c r="J56" s="11"/>
      <c r="K56" s="11"/>
      <c r="L56" s="2" t="s">
        <v>46</v>
      </c>
      <c r="M56" s="12">
        <v>0.4</v>
      </c>
      <c r="N56" s="2" t="s">
        <v>47</v>
      </c>
      <c r="O56" s="13" t="s">
        <v>48</v>
      </c>
      <c r="P56" s="10"/>
      <c r="Q56" s="12"/>
      <c r="R56" s="5"/>
    </row>
    <row r="57" spans="1:18" x14ac:dyDescent="0.25">
      <c r="A57" s="6" t="s">
        <v>44</v>
      </c>
      <c r="B57" s="7">
        <v>46196</v>
      </c>
      <c r="C57" s="6" t="s">
        <v>9</v>
      </c>
      <c r="D57" s="6" t="s">
        <v>45</v>
      </c>
      <c r="E57" s="8"/>
      <c r="F57" s="14">
        <v>100</v>
      </c>
      <c r="G57" s="14">
        <v>161.57</v>
      </c>
      <c r="H57" s="7">
        <v>48019</v>
      </c>
      <c r="I57" s="8"/>
      <c r="J57" s="15"/>
      <c r="K57" s="15"/>
      <c r="L57" s="6" t="s">
        <v>46</v>
      </c>
      <c r="M57" s="16">
        <v>0.4</v>
      </c>
      <c r="N57" s="6" t="s">
        <v>47</v>
      </c>
      <c r="O57" s="13" t="s">
        <v>48</v>
      </c>
      <c r="P57" s="14"/>
      <c r="Q57" s="16"/>
      <c r="R57" s="9"/>
    </row>
    <row r="58" spans="1:18" x14ac:dyDescent="0.25">
      <c r="A58" s="2" t="s">
        <v>44</v>
      </c>
      <c r="B58" s="3">
        <v>46196</v>
      </c>
      <c r="C58" s="2" t="s">
        <v>14</v>
      </c>
      <c r="D58" s="2" t="s">
        <v>49</v>
      </c>
      <c r="E58" s="4"/>
      <c r="F58" s="10">
        <v>500</v>
      </c>
      <c r="G58" s="10">
        <v>544.29</v>
      </c>
      <c r="H58" s="3">
        <v>48019</v>
      </c>
      <c r="I58" s="4"/>
      <c r="J58" s="11"/>
      <c r="K58" s="11"/>
      <c r="L58" s="2" t="s">
        <v>46</v>
      </c>
      <c r="M58" s="12">
        <v>0.4</v>
      </c>
      <c r="N58" s="2" t="s">
        <v>47</v>
      </c>
      <c r="O58" s="13" t="s">
        <v>48</v>
      </c>
      <c r="P58" s="10"/>
      <c r="Q58" s="12"/>
      <c r="R58" s="5"/>
    </row>
    <row r="59" spans="1:18" x14ac:dyDescent="0.25">
      <c r="A59" s="6" t="s">
        <v>44</v>
      </c>
      <c r="B59" s="7">
        <v>46196</v>
      </c>
      <c r="C59" s="6" t="s">
        <v>17</v>
      </c>
      <c r="D59" s="6" t="s">
        <v>54</v>
      </c>
      <c r="E59" s="8"/>
      <c r="F59" s="14">
        <v>100</v>
      </c>
      <c r="G59" s="14">
        <v>40.86</v>
      </c>
      <c r="H59" s="7">
        <v>48019</v>
      </c>
      <c r="I59" s="8"/>
      <c r="J59" s="15"/>
      <c r="K59" s="15"/>
      <c r="L59" s="6" t="s">
        <v>46</v>
      </c>
      <c r="M59" s="16">
        <v>0.4</v>
      </c>
      <c r="N59" s="6" t="s">
        <v>47</v>
      </c>
      <c r="O59" s="13" t="s">
        <v>48</v>
      </c>
      <c r="P59" s="14"/>
      <c r="Q59" s="16"/>
      <c r="R59" s="9"/>
    </row>
    <row r="60" spans="1:18" x14ac:dyDescent="0.25">
      <c r="A60" s="2" t="s">
        <v>44</v>
      </c>
      <c r="B60" s="3">
        <v>46196</v>
      </c>
      <c r="C60" s="2" t="s">
        <v>20</v>
      </c>
      <c r="D60" s="2" t="s">
        <v>50</v>
      </c>
      <c r="E60" s="4"/>
      <c r="F60" s="10">
        <v>100</v>
      </c>
      <c r="G60" s="10">
        <v>53.43</v>
      </c>
      <c r="H60" s="3">
        <v>48019</v>
      </c>
      <c r="I60" s="4"/>
      <c r="J60" s="11"/>
      <c r="K60" s="11"/>
      <c r="L60" s="2" t="s">
        <v>46</v>
      </c>
      <c r="M60" s="12">
        <v>0.4</v>
      </c>
      <c r="N60" s="2" t="s">
        <v>47</v>
      </c>
      <c r="O60" s="13" t="s">
        <v>48</v>
      </c>
      <c r="P60" s="10"/>
      <c r="Q60" s="12"/>
      <c r="R60" s="5"/>
    </row>
    <row r="61" spans="1:18" x14ac:dyDescent="0.25">
      <c r="A61" s="6" t="s">
        <v>44</v>
      </c>
      <c r="B61" s="7">
        <v>46196</v>
      </c>
      <c r="C61" s="6" t="s">
        <v>23</v>
      </c>
      <c r="D61" s="6" t="s">
        <v>51</v>
      </c>
      <c r="E61" s="8"/>
      <c r="F61" s="14">
        <v>100</v>
      </c>
      <c r="G61" s="14">
        <v>51.57</v>
      </c>
      <c r="H61" s="7">
        <v>48019</v>
      </c>
      <c r="I61" s="8"/>
      <c r="J61" s="15"/>
      <c r="K61" s="15"/>
      <c r="L61" s="6" t="s">
        <v>46</v>
      </c>
      <c r="M61" s="16">
        <v>0.4</v>
      </c>
      <c r="N61" s="6" t="s">
        <v>47</v>
      </c>
      <c r="O61" s="13" t="s">
        <v>48</v>
      </c>
      <c r="P61" s="14"/>
      <c r="Q61" s="16"/>
      <c r="R61" s="9"/>
    </row>
    <row r="62" spans="1:18" x14ac:dyDescent="0.25">
      <c r="A62" s="2" t="s">
        <v>44</v>
      </c>
      <c r="B62" s="3">
        <v>46196</v>
      </c>
      <c r="C62" s="2" t="s">
        <v>26</v>
      </c>
      <c r="D62" s="2" t="s">
        <v>52</v>
      </c>
      <c r="E62" s="4"/>
      <c r="F62" s="10">
        <v>100</v>
      </c>
      <c r="G62" s="10">
        <v>39.71</v>
      </c>
      <c r="H62" s="3">
        <v>48019</v>
      </c>
      <c r="I62" s="4"/>
      <c r="J62" s="11"/>
      <c r="K62" s="11"/>
      <c r="L62" s="2" t="s">
        <v>46</v>
      </c>
      <c r="M62" s="12">
        <v>0.4</v>
      </c>
      <c r="N62" s="2" t="s">
        <v>47</v>
      </c>
      <c r="O62" s="13" t="s">
        <v>48</v>
      </c>
      <c r="P62" s="10"/>
      <c r="Q62" s="12"/>
      <c r="R62" s="5"/>
    </row>
    <row r="63" spans="1:18" x14ac:dyDescent="0.25">
      <c r="A63" s="6" t="s">
        <v>44</v>
      </c>
      <c r="B63" s="7">
        <v>46196</v>
      </c>
      <c r="C63" s="6" t="s">
        <v>29</v>
      </c>
      <c r="D63" s="6" t="s">
        <v>53</v>
      </c>
      <c r="E63" s="8"/>
      <c r="F63" s="14">
        <v>100</v>
      </c>
      <c r="G63" s="14">
        <v>70.71</v>
      </c>
      <c r="H63" s="7">
        <v>48019</v>
      </c>
      <c r="I63" s="8"/>
      <c r="J63" s="15"/>
      <c r="K63" s="15"/>
      <c r="L63" s="6" t="s">
        <v>46</v>
      </c>
      <c r="M63" s="16">
        <v>0.4</v>
      </c>
      <c r="N63" s="6" t="s">
        <v>47</v>
      </c>
      <c r="O63" s="13" t="s">
        <v>48</v>
      </c>
      <c r="P63" s="14"/>
      <c r="Q63" s="16"/>
      <c r="R63" s="9"/>
    </row>
    <row r="64" spans="1:18" x14ac:dyDescent="0.25">
      <c r="A64" s="2" t="s">
        <v>44</v>
      </c>
      <c r="B64" s="3">
        <v>46197</v>
      </c>
      <c r="C64" s="2" t="s">
        <v>9</v>
      </c>
      <c r="D64" s="2" t="s">
        <v>45</v>
      </c>
      <c r="E64" s="4"/>
      <c r="F64" s="10">
        <v>100</v>
      </c>
      <c r="G64" s="10">
        <v>163.14</v>
      </c>
      <c r="H64" s="3">
        <v>48019</v>
      </c>
      <c r="I64" s="4"/>
      <c r="J64" s="11"/>
      <c r="K64" s="11"/>
      <c r="L64" s="2" t="s">
        <v>46</v>
      </c>
      <c r="M64" s="12">
        <v>0.4</v>
      </c>
      <c r="N64" s="2" t="s">
        <v>47</v>
      </c>
      <c r="O64" s="13" t="s">
        <v>48</v>
      </c>
      <c r="P64" s="10"/>
      <c r="Q64" s="12"/>
      <c r="R64" s="5"/>
    </row>
    <row r="65" spans="1:18" x14ac:dyDescent="0.25">
      <c r="A65" s="6" t="s">
        <v>44</v>
      </c>
      <c r="B65" s="7">
        <v>46197</v>
      </c>
      <c r="C65" s="6" t="s">
        <v>14</v>
      </c>
      <c r="D65" s="6" t="s">
        <v>49</v>
      </c>
      <c r="E65" s="8"/>
      <c r="F65" s="14">
        <v>500</v>
      </c>
      <c r="G65" s="14">
        <v>555</v>
      </c>
      <c r="H65" s="7">
        <v>48019</v>
      </c>
      <c r="I65" s="8"/>
      <c r="J65" s="15"/>
      <c r="K65" s="15"/>
      <c r="L65" s="6" t="s">
        <v>46</v>
      </c>
      <c r="M65" s="16">
        <v>0.4</v>
      </c>
      <c r="N65" s="6" t="s">
        <v>47</v>
      </c>
      <c r="O65" s="13" t="s">
        <v>48</v>
      </c>
      <c r="P65" s="14"/>
      <c r="Q65" s="16"/>
      <c r="R65" s="9"/>
    </row>
    <row r="66" spans="1:18" x14ac:dyDescent="0.25">
      <c r="A66" s="2" t="s">
        <v>44</v>
      </c>
      <c r="B66" s="3">
        <v>46197</v>
      </c>
      <c r="C66" s="2" t="s">
        <v>17</v>
      </c>
      <c r="D66" s="2" t="s">
        <v>54</v>
      </c>
      <c r="E66" s="4"/>
      <c r="F66" s="10">
        <v>100</v>
      </c>
      <c r="G66" s="10">
        <v>41.71</v>
      </c>
      <c r="H66" s="3">
        <v>48019</v>
      </c>
      <c r="I66" s="4"/>
      <c r="J66" s="11"/>
      <c r="K66" s="11"/>
      <c r="L66" s="2" t="s">
        <v>46</v>
      </c>
      <c r="M66" s="12">
        <v>0.4</v>
      </c>
      <c r="N66" s="2" t="s">
        <v>47</v>
      </c>
      <c r="O66" s="13" t="s">
        <v>48</v>
      </c>
      <c r="P66" s="10"/>
      <c r="Q66" s="12"/>
      <c r="R66" s="5"/>
    </row>
    <row r="67" spans="1:18" x14ac:dyDescent="0.25">
      <c r="A67" s="6" t="s">
        <v>44</v>
      </c>
      <c r="B67" s="7">
        <v>46197</v>
      </c>
      <c r="C67" s="6" t="s">
        <v>20</v>
      </c>
      <c r="D67" s="6" t="s">
        <v>50</v>
      </c>
      <c r="E67" s="8"/>
      <c r="F67" s="14">
        <v>100</v>
      </c>
      <c r="G67" s="14">
        <v>54</v>
      </c>
      <c r="H67" s="7">
        <v>48019</v>
      </c>
      <c r="I67" s="8"/>
      <c r="J67" s="15"/>
      <c r="K67" s="15"/>
      <c r="L67" s="6" t="s">
        <v>46</v>
      </c>
      <c r="M67" s="16">
        <v>0.4</v>
      </c>
      <c r="N67" s="6" t="s">
        <v>47</v>
      </c>
      <c r="O67" s="13" t="s">
        <v>48</v>
      </c>
      <c r="P67" s="14"/>
      <c r="Q67" s="16"/>
      <c r="R67" s="9"/>
    </row>
    <row r="68" spans="1:18" x14ac:dyDescent="0.25">
      <c r="A68" s="2" t="s">
        <v>44</v>
      </c>
      <c r="B68" s="3">
        <v>46197</v>
      </c>
      <c r="C68" s="2" t="s">
        <v>23</v>
      </c>
      <c r="D68" s="2" t="s">
        <v>51</v>
      </c>
      <c r="E68" s="4"/>
      <c r="F68" s="10">
        <v>100</v>
      </c>
      <c r="G68" s="10">
        <v>52</v>
      </c>
      <c r="H68" s="3">
        <v>48019</v>
      </c>
      <c r="I68" s="4"/>
      <c r="J68" s="11"/>
      <c r="K68" s="11"/>
      <c r="L68" s="2" t="s">
        <v>46</v>
      </c>
      <c r="M68" s="12">
        <v>0.4</v>
      </c>
      <c r="N68" s="2" t="s">
        <v>47</v>
      </c>
      <c r="O68" s="13" t="s">
        <v>48</v>
      </c>
      <c r="P68" s="10"/>
      <c r="Q68" s="12"/>
      <c r="R68" s="5"/>
    </row>
    <row r="69" spans="1:18" x14ac:dyDescent="0.25">
      <c r="A69" s="6" t="s">
        <v>44</v>
      </c>
      <c r="B69" s="7">
        <v>46197</v>
      </c>
      <c r="C69" s="6" t="s">
        <v>26</v>
      </c>
      <c r="D69" s="6" t="s">
        <v>52</v>
      </c>
      <c r="E69" s="8"/>
      <c r="F69" s="14">
        <v>100</v>
      </c>
      <c r="G69" s="14">
        <v>40</v>
      </c>
      <c r="H69" s="7">
        <v>48019</v>
      </c>
      <c r="I69" s="8"/>
      <c r="J69" s="15"/>
      <c r="K69" s="15"/>
      <c r="L69" s="6" t="s">
        <v>46</v>
      </c>
      <c r="M69" s="16">
        <v>0.4</v>
      </c>
      <c r="N69" s="6" t="s">
        <v>47</v>
      </c>
      <c r="O69" s="13" t="s">
        <v>48</v>
      </c>
      <c r="P69" s="14"/>
      <c r="Q69" s="16"/>
      <c r="R69" s="9"/>
    </row>
    <row r="70" spans="1:18" x14ac:dyDescent="0.25">
      <c r="A70" s="2" t="s">
        <v>44</v>
      </c>
      <c r="B70" s="3">
        <v>46197</v>
      </c>
      <c r="C70" s="2" t="s">
        <v>29</v>
      </c>
      <c r="D70" s="2" t="s">
        <v>53</v>
      </c>
      <c r="E70" s="4"/>
      <c r="F70" s="10">
        <v>100</v>
      </c>
      <c r="G70" s="10">
        <v>71</v>
      </c>
      <c r="H70" s="3">
        <v>48019</v>
      </c>
      <c r="I70" s="4"/>
      <c r="J70" s="11"/>
      <c r="K70" s="11"/>
      <c r="L70" s="2" t="s">
        <v>46</v>
      </c>
      <c r="M70" s="12">
        <v>0.4</v>
      </c>
      <c r="N70" s="2" t="s">
        <v>47</v>
      </c>
      <c r="O70" s="13" t="s">
        <v>48</v>
      </c>
      <c r="P70" s="10"/>
      <c r="Q70" s="12"/>
      <c r="R70" s="5"/>
    </row>
    <row r="71" spans="1:18" x14ac:dyDescent="0.25">
      <c r="A71" s="6" t="s">
        <v>44</v>
      </c>
      <c r="B71" s="7">
        <v>46198</v>
      </c>
      <c r="C71" s="6" t="s">
        <v>9</v>
      </c>
      <c r="D71" s="6" t="s">
        <v>45</v>
      </c>
      <c r="E71" s="8"/>
      <c r="F71" s="14">
        <v>100</v>
      </c>
      <c r="G71" s="14">
        <v>164.71</v>
      </c>
      <c r="H71" s="7">
        <v>48019</v>
      </c>
      <c r="I71" s="8"/>
      <c r="J71" s="15"/>
      <c r="K71" s="15"/>
      <c r="L71" s="6" t="s">
        <v>46</v>
      </c>
      <c r="M71" s="16">
        <v>0.4</v>
      </c>
      <c r="N71" s="6" t="s">
        <v>47</v>
      </c>
      <c r="O71" s="13" t="s">
        <v>48</v>
      </c>
      <c r="P71" s="14"/>
      <c r="Q71" s="16"/>
      <c r="R71" s="9"/>
    </row>
    <row r="72" spans="1:18" x14ac:dyDescent="0.25">
      <c r="A72" s="2" t="s">
        <v>44</v>
      </c>
      <c r="B72" s="3">
        <v>46198</v>
      </c>
      <c r="C72" s="2" t="s">
        <v>14</v>
      </c>
      <c r="D72" s="2" t="s">
        <v>49</v>
      </c>
      <c r="E72" s="4"/>
      <c r="F72" s="10">
        <v>500</v>
      </c>
      <c r="G72" s="10">
        <v>554</v>
      </c>
      <c r="H72" s="3">
        <v>48019</v>
      </c>
      <c r="I72" s="4"/>
      <c r="J72" s="11"/>
      <c r="K72" s="11"/>
      <c r="L72" s="2" t="s">
        <v>46</v>
      </c>
      <c r="M72" s="12">
        <v>0.4</v>
      </c>
      <c r="N72" s="2" t="s">
        <v>47</v>
      </c>
      <c r="O72" s="13" t="s">
        <v>48</v>
      </c>
      <c r="P72" s="10"/>
      <c r="Q72" s="12"/>
      <c r="R72" s="5"/>
    </row>
    <row r="73" spans="1:18" x14ac:dyDescent="0.25">
      <c r="A73" s="6" t="s">
        <v>44</v>
      </c>
      <c r="B73" s="7">
        <v>46198</v>
      </c>
      <c r="C73" s="6" t="s">
        <v>17</v>
      </c>
      <c r="D73" s="6" t="s">
        <v>54</v>
      </c>
      <c r="E73" s="8"/>
      <c r="F73" s="14">
        <v>100</v>
      </c>
      <c r="G73" s="14">
        <v>42.57</v>
      </c>
      <c r="H73" s="7">
        <v>48019</v>
      </c>
      <c r="I73" s="8"/>
      <c r="J73" s="15"/>
      <c r="K73" s="15"/>
      <c r="L73" s="6" t="s">
        <v>46</v>
      </c>
      <c r="M73" s="16">
        <v>0.4</v>
      </c>
      <c r="N73" s="6" t="s">
        <v>47</v>
      </c>
      <c r="O73" s="13" t="s">
        <v>48</v>
      </c>
      <c r="P73" s="14"/>
      <c r="Q73" s="16"/>
      <c r="R73" s="9"/>
    </row>
    <row r="74" spans="1:18" x14ac:dyDescent="0.25">
      <c r="A74" s="2" t="s">
        <v>44</v>
      </c>
      <c r="B74" s="3">
        <v>46198</v>
      </c>
      <c r="C74" s="2" t="s">
        <v>20</v>
      </c>
      <c r="D74" s="2" t="s">
        <v>50</v>
      </c>
      <c r="E74" s="4"/>
      <c r="F74" s="10">
        <v>100</v>
      </c>
      <c r="G74" s="10">
        <v>54.13</v>
      </c>
      <c r="H74" s="3">
        <v>48019</v>
      </c>
      <c r="I74" s="4"/>
      <c r="J74" s="11"/>
      <c r="K74" s="11"/>
      <c r="L74" s="2" t="s">
        <v>46</v>
      </c>
      <c r="M74" s="12">
        <v>0.4</v>
      </c>
      <c r="N74" s="2" t="s">
        <v>47</v>
      </c>
      <c r="O74" s="13" t="s">
        <v>48</v>
      </c>
      <c r="P74" s="10"/>
      <c r="Q74" s="12"/>
      <c r="R74" s="5"/>
    </row>
    <row r="75" spans="1:18" x14ac:dyDescent="0.25">
      <c r="A75" s="6" t="s">
        <v>44</v>
      </c>
      <c r="B75" s="7">
        <v>46198</v>
      </c>
      <c r="C75" s="6" t="s">
        <v>23</v>
      </c>
      <c r="D75" s="6" t="s">
        <v>51</v>
      </c>
      <c r="E75" s="8"/>
      <c r="F75" s="14">
        <v>100</v>
      </c>
      <c r="G75" s="14">
        <v>52.29</v>
      </c>
      <c r="H75" s="7">
        <v>48019</v>
      </c>
      <c r="I75" s="8"/>
      <c r="J75" s="15"/>
      <c r="K75" s="15"/>
      <c r="L75" s="6" t="s">
        <v>46</v>
      </c>
      <c r="M75" s="16">
        <v>0.4</v>
      </c>
      <c r="N75" s="6" t="s">
        <v>47</v>
      </c>
      <c r="O75" s="13" t="s">
        <v>48</v>
      </c>
      <c r="P75" s="14"/>
      <c r="Q75" s="16"/>
      <c r="R75" s="9"/>
    </row>
    <row r="76" spans="1:18" x14ac:dyDescent="0.25">
      <c r="A76" s="2" t="s">
        <v>44</v>
      </c>
      <c r="B76" s="3">
        <v>46198</v>
      </c>
      <c r="C76" s="2" t="s">
        <v>26</v>
      </c>
      <c r="D76" s="2" t="s">
        <v>52</v>
      </c>
      <c r="E76" s="4"/>
      <c r="F76" s="10">
        <v>100</v>
      </c>
      <c r="G76" s="10">
        <v>40.4</v>
      </c>
      <c r="H76" s="3">
        <v>48019</v>
      </c>
      <c r="I76" s="4"/>
      <c r="J76" s="11"/>
      <c r="K76" s="11"/>
      <c r="L76" s="2" t="s">
        <v>46</v>
      </c>
      <c r="M76" s="12">
        <v>0.4</v>
      </c>
      <c r="N76" s="2" t="s">
        <v>47</v>
      </c>
      <c r="O76" s="13" t="s">
        <v>48</v>
      </c>
      <c r="P76" s="10"/>
      <c r="Q76" s="12"/>
      <c r="R76" s="5"/>
    </row>
    <row r="77" spans="1:18" x14ac:dyDescent="0.25">
      <c r="A77" s="6" t="s">
        <v>44</v>
      </c>
      <c r="B77" s="7">
        <v>46198</v>
      </c>
      <c r="C77" s="6" t="s">
        <v>29</v>
      </c>
      <c r="D77" s="6" t="s">
        <v>53</v>
      </c>
      <c r="E77" s="8"/>
      <c r="F77" s="14">
        <v>100</v>
      </c>
      <c r="G77" s="14">
        <v>70.63</v>
      </c>
      <c r="H77" s="7">
        <v>48019</v>
      </c>
      <c r="I77" s="8"/>
      <c r="J77" s="15"/>
      <c r="K77" s="15"/>
      <c r="L77" s="6" t="s">
        <v>46</v>
      </c>
      <c r="M77" s="16">
        <v>0.4</v>
      </c>
      <c r="N77" s="6" t="s">
        <v>47</v>
      </c>
      <c r="O77" s="13" t="s">
        <v>48</v>
      </c>
      <c r="P77" s="14"/>
      <c r="Q77" s="16"/>
      <c r="R77" s="9"/>
    </row>
    <row r="78" spans="1:18" x14ac:dyDescent="0.25">
      <c r="A78" s="2" t="s">
        <v>44</v>
      </c>
      <c r="B78" s="3">
        <v>46199</v>
      </c>
      <c r="C78" s="2" t="s">
        <v>9</v>
      </c>
      <c r="D78" s="2" t="s">
        <v>45</v>
      </c>
      <c r="E78" s="4"/>
      <c r="F78" s="10">
        <v>100</v>
      </c>
      <c r="G78" s="10">
        <v>166.29</v>
      </c>
      <c r="H78" s="3">
        <v>48019</v>
      </c>
      <c r="I78" s="4"/>
      <c r="J78" s="11"/>
      <c r="K78" s="11"/>
      <c r="L78" s="2" t="s">
        <v>46</v>
      </c>
      <c r="M78" s="12">
        <v>0.4</v>
      </c>
      <c r="N78" s="2" t="s">
        <v>47</v>
      </c>
      <c r="O78" s="13" t="s">
        <v>48</v>
      </c>
      <c r="P78" s="10"/>
      <c r="Q78" s="12"/>
      <c r="R78" s="5"/>
    </row>
    <row r="79" spans="1:18" x14ac:dyDescent="0.25">
      <c r="A79" s="6" t="s">
        <v>44</v>
      </c>
      <c r="B79" s="7">
        <v>46199</v>
      </c>
      <c r="C79" s="6" t="s">
        <v>14</v>
      </c>
      <c r="D79" s="6" t="s">
        <v>49</v>
      </c>
      <c r="E79" s="8"/>
      <c r="F79" s="14">
        <v>500</v>
      </c>
      <c r="G79" s="14">
        <v>553</v>
      </c>
      <c r="H79" s="7">
        <v>48019</v>
      </c>
      <c r="I79" s="8"/>
      <c r="J79" s="15"/>
      <c r="K79" s="15"/>
      <c r="L79" s="6" t="s">
        <v>46</v>
      </c>
      <c r="M79" s="16">
        <v>0.4</v>
      </c>
      <c r="N79" s="6" t="s">
        <v>47</v>
      </c>
      <c r="O79" s="13" t="s">
        <v>48</v>
      </c>
      <c r="P79" s="14"/>
      <c r="Q79" s="16"/>
      <c r="R79" s="9"/>
    </row>
    <row r="80" spans="1:18" x14ac:dyDescent="0.25">
      <c r="A80" s="2" t="s">
        <v>44</v>
      </c>
      <c r="B80" s="3">
        <v>46199</v>
      </c>
      <c r="C80" s="2" t="s">
        <v>17</v>
      </c>
      <c r="D80" s="2" t="s">
        <v>54</v>
      </c>
      <c r="E80" s="4"/>
      <c r="F80" s="10">
        <v>100</v>
      </c>
      <c r="G80" s="10">
        <v>43.43</v>
      </c>
      <c r="H80" s="3">
        <v>48019</v>
      </c>
      <c r="I80" s="4"/>
      <c r="J80" s="11"/>
      <c r="K80" s="11"/>
      <c r="L80" s="2" t="s">
        <v>46</v>
      </c>
      <c r="M80" s="12">
        <v>0.4</v>
      </c>
      <c r="N80" s="2" t="s">
        <v>47</v>
      </c>
      <c r="O80" s="13" t="s">
        <v>48</v>
      </c>
      <c r="P80" s="10"/>
      <c r="Q80" s="12"/>
      <c r="R80" s="5"/>
    </row>
    <row r="81" spans="1:18" x14ac:dyDescent="0.25">
      <c r="A81" s="6" t="s">
        <v>44</v>
      </c>
      <c r="B81" s="7">
        <v>46199</v>
      </c>
      <c r="C81" s="6" t="s">
        <v>20</v>
      </c>
      <c r="D81" s="6" t="s">
        <v>50</v>
      </c>
      <c r="E81" s="8"/>
      <c r="F81" s="14">
        <v>100</v>
      </c>
      <c r="G81" s="14">
        <v>54.25</v>
      </c>
      <c r="H81" s="7">
        <v>48019</v>
      </c>
      <c r="I81" s="8"/>
      <c r="J81" s="15"/>
      <c r="K81" s="15"/>
      <c r="L81" s="6" t="s">
        <v>46</v>
      </c>
      <c r="M81" s="16">
        <v>0.4</v>
      </c>
      <c r="N81" s="6" t="s">
        <v>47</v>
      </c>
      <c r="O81" s="13" t="s">
        <v>48</v>
      </c>
      <c r="P81" s="14"/>
      <c r="Q81" s="16"/>
      <c r="R81" s="9"/>
    </row>
    <row r="82" spans="1:18" x14ac:dyDescent="0.25">
      <c r="A82" s="2" t="s">
        <v>44</v>
      </c>
      <c r="B82" s="3">
        <v>46199</v>
      </c>
      <c r="C82" s="2" t="s">
        <v>23</v>
      </c>
      <c r="D82" s="2" t="s">
        <v>51</v>
      </c>
      <c r="E82" s="4"/>
      <c r="F82" s="10">
        <v>100</v>
      </c>
      <c r="G82" s="10">
        <v>52.57</v>
      </c>
      <c r="H82" s="3">
        <v>48019</v>
      </c>
      <c r="I82" s="4"/>
      <c r="J82" s="11"/>
      <c r="K82" s="11"/>
      <c r="L82" s="2" t="s">
        <v>46</v>
      </c>
      <c r="M82" s="12">
        <v>0.4</v>
      </c>
      <c r="N82" s="2" t="s">
        <v>47</v>
      </c>
      <c r="O82" s="13" t="s">
        <v>48</v>
      </c>
      <c r="P82" s="10"/>
      <c r="Q82" s="12"/>
      <c r="R82" s="5"/>
    </row>
    <row r="83" spans="1:18" x14ac:dyDescent="0.25">
      <c r="A83" s="6" t="s">
        <v>44</v>
      </c>
      <c r="B83" s="7">
        <v>46199</v>
      </c>
      <c r="C83" s="6" t="s">
        <v>26</v>
      </c>
      <c r="D83" s="6" t="s">
        <v>52</v>
      </c>
      <c r="E83" s="8"/>
      <c r="F83" s="14">
        <v>100</v>
      </c>
      <c r="G83" s="14">
        <v>40.8</v>
      </c>
      <c r="H83" s="7">
        <v>48019</v>
      </c>
      <c r="I83" s="8"/>
      <c r="J83" s="15"/>
      <c r="K83" s="15"/>
      <c r="L83" s="6" t="s">
        <v>46</v>
      </c>
      <c r="M83" s="16">
        <v>0.4</v>
      </c>
      <c r="N83" s="6" t="s">
        <v>47</v>
      </c>
      <c r="O83" s="13" t="s">
        <v>48</v>
      </c>
      <c r="P83" s="14"/>
      <c r="Q83" s="16"/>
      <c r="R83" s="9"/>
    </row>
    <row r="84" spans="1:18" x14ac:dyDescent="0.25">
      <c r="A84" s="2" t="s">
        <v>44</v>
      </c>
      <c r="B84" s="3">
        <v>46199</v>
      </c>
      <c r="C84" s="2" t="s">
        <v>29</v>
      </c>
      <c r="D84" s="2" t="s">
        <v>53</v>
      </c>
      <c r="E84" s="4"/>
      <c r="F84" s="10">
        <v>100</v>
      </c>
      <c r="G84" s="10">
        <v>70.25</v>
      </c>
      <c r="H84" s="3">
        <v>48019</v>
      </c>
      <c r="I84" s="4"/>
      <c r="J84" s="11"/>
      <c r="K84" s="11"/>
      <c r="L84" s="2" t="s">
        <v>46</v>
      </c>
      <c r="M84" s="12">
        <v>0.4</v>
      </c>
      <c r="N84" s="2" t="s">
        <v>47</v>
      </c>
      <c r="O84" s="13" t="s">
        <v>48</v>
      </c>
      <c r="P84" s="10"/>
      <c r="Q84" s="12"/>
      <c r="R84" s="5"/>
    </row>
    <row r="85" spans="1:18" x14ac:dyDescent="0.25">
      <c r="A85" s="6" t="s">
        <v>44</v>
      </c>
      <c r="B85" s="7">
        <v>46202</v>
      </c>
      <c r="C85" s="6" t="s">
        <v>9</v>
      </c>
      <c r="D85" s="6" t="s">
        <v>45</v>
      </c>
      <c r="E85" s="8"/>
      <c r="F85" s="14">
        <v>100</v>
      </c>
      <c r="G85" s="14">
        <v>171</v>
      </c>
      <c r="H85" s="7">
        <v>48019</v>
      </c>
      <c r="I85" s="8"/>
      <c r="J85" s="15"/>
      <c r="K85" s="15"/>
      <c r="L85" s="6" t="s">
        <v>46</v>
      </c>
      <c r="M85" s="16">
        <v>0.4</v>
      </c>
      <c r="N85" s="6" t="s">
        <v>47</v>
      </c>
      <c r="O85" s="13" t="s">
        <v>48</v>
      </c>
      <c r="P85" s="14"/>
      <c r="Q85" s="16"/>
      <c r="R85" s="9"/>
    </row>
    <row r="86" spans="1:18" x14ac:dyDescent="0.25">
      <c r="A86" s="2" t="s">
        <v>44</v>
      </c>
      <c r="B86" s="3">
        <v>46202</v>
      </c>
      <c r="C86" s="2" t="s">
        <v>14</v>
      </c>
      <c r="D86" s="2" t="s">
        <v>49</v>
      </c>
      <c r="E86" s="4"/>
      <c r="F86" s="10">
        <v>500</v>
      </c>
      <c r="G86" s="10">
        <v>550</v>
      </c>
      <c r="H86" s="3">
        <v>48019</v>
      </c>
      <c r="I86" s="4"/>
      <c r="J86" s="11"/>
      <c r="K86" s="11"/>
      <c r="L86" s="2" t="s">
        <v>46</v>
      </c>
      <c r="M86" s="12">
        <v>0.4</v>
      </c>
      <c r="N86" s="2" t="s">
        <v>47</v>
      </c>
      <c r="O86" s="13" t="s">
        <v>48</v>
      </c>
      <c r="P86" s="10"/>
      <c r="Q86" s="12"/>
      <c r="R86" s="5"/>
    </row>
    <row r="87" spans="1:18" x14ac:dyDescent="0.25">
      <c r="A87" s="6" t="s">
        <v>44</v>
      </c>
      <c r="B87" s="7">
        <v>46202</v>
      </c>
      <c r="C87" s="6" t="s">
        <v>17</v>
      </c>
      <c r="D87" s="6" t="s">
        <v>54</v>
      </c>
      <c r="E87" s="8"/>
      <c r="F87" s="14">
        <v>100</v>
      </c>
      <c r="G87" s="14">
        <v>46</v>
      </c>
      <c r="H87" s="7">
        <v>48019</v>
      </c>
      <c r="I87" s="8"/>
      <c r="J87" s="15"/>
      <c r="K87" s="15"/>
      <c r="L87" s="6" t="s">
        <v>46</v>
      </c>
      <c r="M87" s="16">
        <v>0.4</v>
      </c>
      <c r="N87" s="6" t="s">
        <v>47</v>
      </c>
      <c r="O87" s="13" t="s">
        <v>48</v>
      </c>
      <c r="P87" s="14"/>
      <c r="Q87" s="16"/>
      <c r="R87" s="9"/>
    </row>
    <row r="88" spans="1:18" x14ac:dyDescent="0.25">
      <c r="A88" s="2" t="s">
        <v>44</v>
      </c>
      <c r="B88" s="3">
        <v>46202</v>
      </c>
      <c r="C88" s="2" t="s">
        <v>20</v>
      </c>
      <c r="D88" s="2" t="s">
        <v>50</v>
      </c>
      <c r="E88" s="4"/>
      <c r="F88" s="10">
        <v>100</v>
      </c>
      <c r="G88" s="10">
        <v>54.63</v>
      </c>
      <c r="H88" s="3">
        <v>48019</v>
      </c>
      <c r="I88" s="4"/>
      <c r="J88" s="11"/>
      <c r="K88" s="11"/>
      <c r="L88" s="2" t="s">
        <v>46</v>
      </c>
      <c r="M88" s="12">
        <v>0.4</v>
      </c>
      <c r="N88" s="2" t="s">
        <v>47</v>
      </c>
      <c r="O88" s="13" t="s">
        <v>48</v>
      </c>
      <c r="P88" s="10"/>
      <c r="Q88" s="12"/>
      <c r="R88" s="5"/>
    </row>
    <row r="89" spans="1:18" x14ac:dyDescent="0.25">
      <c r="A89" s="6" t="s">
        <v>44</v>
      </c>
      <c r="B89" s="7">
        <v>46202</v>
      </c>
      <c r="C89" s="6" t="s">
        <v>23</v>
      </c>
      <c r="D89" s="6" t="s">
        <v>51</v>
      </c>
      <c r="E89" s="8"/>
      <c r="F89" s="14">
        <v>100</v>
      </c>
      <c r="G89" s="14">
        <v>53.43</v>
      </c>
      <c r="H89" s="7">
        <v>48019</v>
      </c>
      <c r="I89" s="8"/>
      <c r="J89" s="15"/>
      <c r="K89" s="15"/>
      <c r="L89" s="6" t="s">
        <v>46</v>
      </c>
      <c r="M89" s="16">
        <v>0.4</v>
      </c>
      <c r="N89" s="6" t="s">
        <v>47</v>
      </c>
      <c r="O89" s="13" t="s">
        <v>48</v>
      </c>
      <c r="P89" s="14"/>
      <c r="Q89" s="16"/>
      <c r="R89" s="9"/>
    </row>
    <row r="90" spans="1:18" x14ac:dyDescent="0.25">
      <c r="A90" s="2" t="s">
        <v>44</v>
      </c>
      <c r="B90" s="3">
        <v>46202</v>
      </c>
      <c r="C90" s="2" t="s">
        <v>26</v>
      </c>
      <c r="D90" s="2" t="s">
        <v>52</v>
      </c>
      <c r="E90" s="4"/>
      <c r="F90" s="10">
        <v>100</v>
      </c>
      <c r="G90" s="10">
        <v>42</v>
      </c>
      <c r="H90" s="3">
        <v>48019</v>
      </c>
      <c r="I90" s="4"/>
      <c r="J90" s="11"/>
      <c r="K90" s="11"/>
      <c r="L90" s="2" t="s">
        <v>46</v>
      </c>
      <c r="M90" s="12">
        <v>0.4</v>
      </c>
      <c r="N90" s="2" t="s">
        <v>47</v>
      </c>
      <c r="O90" s="13" t="s">
        <v>48</v>
      </c>
      <c r="P90" s="10"/>
      <c r="Q90" s="12"/>
      <c r="R90" s="5"/>
    </row>
    <row r="91" spans="1:18" x14ac:dyDescent="0.25">
      <c r="A91" s="6" t="s">
        <v>44</v>
      </c>
      <c r="B91" s="7">
        <v>46202</v>
      </c>
      <c r="C91" s="6" t="s">
        <v>29</v>
      </c>
      <c r="D91" s="6" t="s">
        <v>53</v>
      </c>
      <c r="E91" s="8"/>
      <c r="F91" s="14">
        <v>100</v>
      </c>
      <c r="G91" s="14">
        <v>69.13</v>
      </c>
      <c r="H91" s="7">
        <v>48019</v>
      </c>
      <c r="I91" s="8"/>
      <c r="J91" s="15"/>
      <c r="K91" s="15"/>
      <c r="L91" s="6" t="s">
        <v>46</v>
      </c>
      <c r="M91" s="16">
        <v>0.4</v>
      </c>
      <c r="N91" s="6" t="s">
        <v>47</v>
      </c>
      <c r="O91" s="13" t="s">
        <v>48</v>
      </c>
      <c r="P91" s="14"/>
      <c r="Q91" s="16"/>
      <c r="R91" s="9"/>
    </row>
    <row r="92" spans="1:18" x14ac:dyDescent="0.25">
      <c r="A92" s="2" t="s">
        <v>44</v>
      </c>
      <c r="B92" s="3">
        <v>46203</v>
      </c>
      <c r="C92" s="2" t="s">
        <v>9</v>
      </c>
      <c r="D92" s="2" t="s">
        <v>45</v>
      </c>
      <c r="E92" s="4"/>
      <c r="F92" s="10">
        <v>100</v>
      </c>
      <c r="G92" s="10">
        <v>170.71</v>
      </c>
      <c r="H92" s="3">
        <v>48019</v>
      </c>
      <c r="I92" s="4"/>
      <c r="J92" s="11"/>
      <c r="K92" s="11"/>
      <c r="L92" s="2" t="s">
        <v>46</v>
      </c>
      <c r="M92" s="12">
        <v>0.4</v>
      </c>
      <c r="N92" s="2" t="s">
        <v>47</v>
      </c>
      <c r="O92" s="13" t="s">
        <v>48</v>
      </c>
      <c r="P92" s="10"/>
      <c r="Q92" s="12"/>
      <c r="R92" s="5"/>
    </row>
    <row r="93" spans="1:18" x14ac:dyDescent="0.25">
      <c r="A93" s="6" t="s">
        <v>44</v>
      </c>
      <c r="B93" s="7">
        <v>46203</v>
      </c>
      <c r="C93" s="6" t="s">
        <v>14</v>
      </c>
      <c r="D93" s="6" t="s">
        <v>49</v>
      </c>
      <c r="E93" s="8"/>
      <c r="F93" s="14">
        <v>500</v>
      </c>
      <c r="G93" s="14">
        <v>561.67</v>
      </c>
      <c r="H93" s="7">
        <v>48019</v>
      </c>
      <c r="I93" s="8"/>
      <c r="J93" s="15"/>
      <c r="K93" s="15"/>
      <c r="L93" s="6" t="s">
        <v>46</v>
      </c>
      <c r="M93" s="16">
        <v>0.4</v>
      </c>
      <c r="N93" s="6" t="s">
        <v>47</v>
      </c>
      <c r="O93" s="13" t="s">
        <v>48</v>
      </c>
      <c r="P93" s="14"/>
      <c r="Q93" s="16"/>
      <c r="R93" s="9"/>
    </row>
    <row r="94" spans="1:18" x14ac:dyDescent="0.25">
      <c r="A94" s="2" t="s">
        <v>44</v>
      </c>
      <c r="B94" s="3">
        <v>46203</v>
      </c>
      <c r="C94" s="2" t="s">
        <v>17</v>
      </c>
      <c r="D94" s="2" t="s">
        <v>54</v>
      </c>
      <c r="E94" s="4"/>
      <c r="F94" s="10">
        <v>100</v>
      </c>
      <c r="G94" s="10">
        <v>45.89</v>
      </c>
      <c r="H94" s="3">
        <v>48019</v>
      </c>
      <c r="I94" s="4"/>
      <c r="J94" s="11"/>
      <c r="K94" s="11"/>
      <c r="L94" s="2" t="s">
        <v>46</v>
      </c>
      <c r="M94" s="12">
        <v>0.4</v>
      </c>
      <c r="N94" s="2" t="s">
        <v>47</v>
      </c>
      <c r="O94" s="13" t="s">
        <v>48</v>
      </c>
      <c r="P94" s="10"/>
      <c r="Q94" s="12"/>
      <c r="R94" s="5"/>
    </row>
    <row r="95" spans="1:18" x14ac:dyDescent="0.25">
      <c r="A95" s="6" t="s">
        <v>44</v>
      </c>
      <c r="B95" s="7">
        <v>46203</v>
      </c>
      <c r="C95" s="6" t="s">
        <v>20</v>
      </c>
      <c r="D95" s="6" t="s">
        <v>50</v>
      </c>
      <c r="E95" s="8"/>
      <c r="F95" s="14">
        <v>100</v>
      </c>
      <c r="G95" s="14">
        <v>54.75</v>
      </c>
      <c r="H95" s="7">
        <v>48019</v>
      </c>
      <c r="I95" s="8"/>
      <c r="J95" s="15"/>
      <c r="K95" s="15"/>
      <c r="L95" s="6" t="s">
        <v>46</v>
      </c>
      <c r="M95" s="16">
        <v>0.4</v>
      </c>
      <c r="N95" s="6" t="s">
        <v>47</v>
      </c>
      <c r="O95" s="13" t="s">
        <v>48</v>
      </c>
      <c r="P95" s="14"/>
      <c r="Q95" s="16"/>
      <c r="R95" s="9"/>
    </row>
    <row r="96" spans="1:18" x14ac:dyDescent="0.25">
      <c r="A96" s="2" t="s">
        <v>44</v>
      </c>
      <c r="B96" s="3">
        <v>46203</v>
      </c>
      <c r="C96" s="2" t="s">
        <v>23</v>
      </c>
      <c r="D96" s="2" t="s">
        <v>51</v>
      </c>
      <c r="E96" s="4"/>
      <c r="F96" s="10">
        <v>100</v>
      </c>
      <c r="G96" s="10">
        <v>53.71</v>
      </c>
      <c r="H96" s="3">
        <v>48019</v>
      </c>
      <c r="I96" s="4"/>
      <c r="J96" s="11"/>
      <c r="K96" s="11"/>
      <c r="L96" s="2" t="s">
        <v>46</v>
      </c>
      <c r="M96" s="12">
        <v>0.4</v>
      </c>
      <c r="N96" s="2" t="s">
        <v>47</v>
      </c>
      <c r="O96" s="13" t="s">
        <v>48</v>
      </c>
      <c r="P96" s="10"/>
      <c r="Q96" s="12"/>
      <c r="R96" s="5"/>
    </row>
    <row r="97" spans="1:18" x14ac:dyDescent="0.25">
      <c r="A97" s="6" t="s">
        <v>44</v>
      </c>
      <c r="B97" s="7">
        <v>46203</v>
      </c>
      <c r="C97" s="6" t="s">
        <v>26</v>
      </c>
      <c r="D97" s="6" t="s">
        <v>52</v>
      </c>
      <c r="E97" s="8"/>
      <c r="F97" s="14">
        <v>100</v>
      </c>
      <c r="G97" s="14">
        <v>41.86</v>
      </c>
      <c r="H97" s="7">
        <v>48019</v>
      </c>
      <c r="I97" s="8"/>
      <c r="J97" s="15"/>
      <c r="K97" s="15"/>
      <c r="L97" s="6" t="s">
        <v>46</v>
      </c>
      <c r="M97" s="16">
        <v>0.4</v>
      </c>
      <c r="N97" s="6" t="s">
        <v>47</v>
      </c>
      <c r="O97" s="13" t="s">
        <v>48</v>
      </c>
      <c r="P97" s="14"/>
      <c r="Q97" s="16"/>
      <c r="R97" s="9"/>
    </row>
    <row r="98" spans="1:18" x14ac:dyDescent="0.25">
      <c r="A98" s="2" t="s">
        <v>44</v>
      </c>
      <c r="B98" s="3">
        <v>46203</v>
      </c>
      <c r="C98" s="2" t="s">
        <v>29</v>
      </c>
      <c r="D98" s="2" t="s">
        <v>53</v>
      </c>
      <c r="E98" s="4"/>
      <c r="F98" s="10">
        <v>100</v>
      </c>
      <c r="G98" s="10">
        <v>68.75</v>
      </c>
      <c r="H98" s="3">
        <v>48019</v>
      </c>
      <c r="I98" s="4"/>
      <c r="J98" s="11"/>
      <c r="K98" s="11"/>
      <c r="L98" s="2" t="s">
        <v>46</v>
      </c>
      <c r="M98" s="12">
        <v>0.4</v>
      </c>
      <c r="N98" s="2" t="s">
        <v>47</v>
      </c>
      <c r="O98" s="13" t="s">
        <v>48</v>
      </c>
      <c r="P98" s="10"/>
      <c r="Q98" s="12"/>
      <c r="R98" s="5"/>
    </row>
    <row r="99" spans="1:18" x14ac:dyDescent="0.25">
      <c r="A99" s="6" t="s">
        <v>44</v>
      </c>
      <c r="B99" s="7">
        <v>46204</v>
      </c>
      <c r="C99" s="6" t="s">
        <v>9</v>
      </c>
      <c r="D99" s="6" t="s">
        <v>45</v>
      </c>
      <c r="E99" s="8"/>
      <c r="F99" s="14">
        <v>100</v>
      </c>
      <c r="G99" s="14">
        <v>170.43</v>
      </c>
      <c r="H99" s="7">
        <v>48019</v>
      </c>
      <c r="I99" s="8"/>
      <c r="J99" s="15"/>
      <c r="K99" s="15"/>
      <c r="L99" s="6" t="s">
        <v>46</v>
      </c>
      <c r="M99" s="16">
        <v>0.4</v>
      </c>
      <c r="N99" s="6" t="s">
        <v>47</v>
      </c>
      <c r="O99" s="13" t="s">
        <v>48</v>
      </c>
      <c r="P99" s="14"/>
      <c r="Q99" s="16"/>
      <c r="R99" s="9"/>
    </row>
    <row r="100" spans="1:18" x14ac:dyDescent="0.25">
      <c r="A100" s="2" t="s">
        <v>44</v>
      </c>
      <c r="B100" s="3">
        <v>46204</v>
      </c>
      <c r="C100" s="2" t="s">
        <v>14</v>
      </c>
      <c r="D100" s="2" t="s">
        <v>49</v>
      </c>
      <c r="E100" s="4"/>
      <c r="F100" s="10">
        <v>500</v>
      </c>
      <c r="G100" s="10">
        <v>573.33</v>
      </c>
      <c r="H100" s="3">
        <v>48019</v>
      </c>
      <c r="I100" s="4"/>
      <c r="J100" s="11"/>
      <c r="K100" s="11"/>
      <c r="L100" s="2" t="s">
        <v>46</v>
      </c>
      <c r="M100" s="12">
        <v>0.4</v>
      </c>
      <c r="N100" s="2" t="s">
        <v>47</v>
      </c>
      <c r="O100" s="13" t="s">
        <v>48</v>
      </c>
      <c r="P100" s="10"/>
      <c r="Q100" s="12"/>
      <c r="R100" s="5"/>
    </row>
    <row r="101" spans="1:18" x14ac:dyDescent="0.25">
      <c r="A101" s="6" t="s">
        <v>44</v>
      </c>
      <c r="B101" s="7">
        <v>46204</v>
      </c>
      <c r="C101" s="6" t="s">
        <v>17</v>
      </c>
      <c r="D101" s="6" t="s">
        <v>54</v>
      </c>
      <c r="E101" s="8"/>
      <c r="F101" s="14">
        <v>100</v>
      </c>
      <c r="G101" s="14">
        <v>45.78</v>
      </c>
      <c r="H101" s="7">
        <v>48019</v>
      </c>
      <c r="I101" s="8"/>
      <c r="J101" s="15"/>
      <c r="K101" s="15"/>
      <c r="L101" s="6" t="s">
        <v>46</v>
      </c>
      <c r="M101" s="16">
        <v>0.4</v>
      </c>
      <c r="N101" s="6" t="s">
        <v>47</v>
      </c>
      <c r="O101" s="13" t="s">
        <v>48</v>
      </c>
      <c r="P101" s="14"/>
      <c r="Q101" s="16"/>
      <c r="R101" s="9"/>
    </row>
    <row r="102" spans="1:18" x14ac:dyDescent="0.25">
      <c r="A102" s="2" t="s">
        <v>44</v>
      </c>
      <c r="B102" s="3">
        <v>46204</v>
      </c>
      <c r="C102" s="2" t="s">
        <v>20</v>
      </c>
      <c r="D102" s="2" t="s">
        <v>50</v>
      </c>
      <c r="E102" s="4"/>
      <c r="F102" s="10">
        <v>100</v>
      </c>
      <c r="G102" s="10">
        <v>54.88</v>
      </c>
      <c r="H102" s="3">
        <v>48019</v>
      </c>
      <c r="I102" s="4"/>
      <c r="J102" s="11"/>
      <c r="K102" s="11"/>
      <c r="L102" s="2" t="s">
        <v>46</v>
      </c>
      <c r="M102" s="12">
        <v>0.4</v>
      </c>
      <c r="N102" s="2" t="s">
        <v>47</v>
      </c>
      <c r="O102" s="13" t="s">
        <v>48</v>
      </c>
      <c r="P102" s="10"/>
      <c r="Q102" s="12"/>
      <c r="R102" s="5"/>
    </row>
    <row r="103" spans="1:18" x14ac:dyDescent="0.25">
      <c r="A103" s="6" t="s">
        <v>44</v>
      </c>
      <c r="B103" s="7">
        <v>46204</v>
      </c>
      <c r="C103" s="6" t="s">
        <v>23</v>
      </c>
      <c r="D103" s="6" t="s">
        <v>51</v>
      </c>
      <c r="E103" s="8"/>
      <c r="F103" s="14">
        <v>100</v>
      </c>
      <c r="G103" s="14">
        <v>54</v>
      </c>
      <c r="H103" s="7">
        <v>48019</v>
      </c>
      <c r="I103" s="8"/>
      <c r="J103" s="15"/>
      <c r="K103" s="15"/>
      <c r="L103" s="6" t="s">
        <v>46</v>
      </c>
      <c r="M103" s="16">
        <v>0.4</v>
      </c>
      <c r="N103" s="6" t="s">
        <v>47</v>
      </c>
      <c r="O103" s="13" t="s">
        <v>48</v>
      </c>
      <c r="P103" s="14"/>
      <c r="Q103" s="16"/>
      <c r="R103" s="9"/>
    </row>
    <row r="104" spans="1:18" x14ac:dyDescent="0.25">
      <c r="A104" s="2" t="s">
        <v>44</v>
      </c>
      <c r="B104" s="3">
        <v>46204</v>
      </c>
      <c r="C104" s="2" t="s">
        <v>26</v>
      </c>
      <c r="D104" s="2" t="s">
        <v>52</v>
      </c>
      <c r="E104" s="4"/>
      <c r="F104" s="10">
        <v>100</v>
      </c>
      <c r="G104" s="10">
        <v>41.71</v>
      </c>
      <c r="H104" s="3">
        <v>48019</v>
      </c>
      <c r="I104" s="4"/>
      <c r="J104" s="11"/>
      <c r="K104" s="11"/>
      <c r="L104" s="2" t="s">
        <v>46</v>
      </c>
      <c r="M104" s="12">
        <v>0.4</v>
      </c>
      <c r="N104" s="2" t="s">
        <v>47</v>
      </c>
      <c r="O104" s="13" t="s">
        <v>48</v>
      </c>
      <c r="P104" s="10"/>
      <c r="Q104" s="12"/>
      <c r="R104" s="5"/>
    </row>
    <row r="105" spans="1:18" x14ac:dyDescent="0.25">
      <c r="A105" s="6" t="s">
        <v>44</v>
      </c>
      <c r="B105" s="7">
        <v>46204</v>
      </c>
      <c r="C105" s="6" t="s">
        <v>29</v>
      </c>
      <c r="D105" s="6" t="s">
        <v>53</v>
      </c>
      <c r="E105" s="8"/>
      <c r="F105" s="14">
        <v>100</v>
      </c>
      <c r="G105" s="14">
        <v>68.38</v>
      </c>
      <c r="H105" s="7">
        <v>48019</v>
      </c>
      <c r="I105" s="8"/>
      <c r="J105" s="15"/>
      <c r="K105" s="15"/>
      <c r="L105" s="6" t="s">
        <v>46</v>
      </c>
      <c r="M105" s="16">
        <v>0.4</v>
      </c>
      <c r="N105" s="6" t="s">
        <v>47</v>
      </c>
      <c r="O105" s="13" t="s">
        <v>48</v>
      </c>
      <c r="P105" s="14"/>
      <c r="Q105" s="16"/>
      <c r="R105" s="9"/>
    </row>
    <row r="106" spans="1:18" x14ac:dyDescent="0.25">
      <c r="A106" s="2" t="s">
        <v>44</v>
      </c>
      <c r="B106" s="3">
        <v>46205</v>
      </c>
      <c r="C106" s="2" t="s">
        <v>9</v>
      </c>
      <c r="D106" s="2" t="s">
        <v>45</v>
      </c>
      <c r="E106" s="4"/>
      <c r="F106" s="10">
        <v>100</v>
      </c>
      <c r="G106" s="10">
        <v>170.14</v>
      </c>
      <c r="H106" s="3">
        <v>48019</v>
      </c>
      <c r="I106" s="4"/>
      <c r="J106" s="11"/>
      <c r="K106" s="11"/>
      <c r="L106" s="2" t="s">
        <v>46</v>
      </c>
      <c r="M106" s="12">
        <v>0.4</v>
      </c>
      <c r="N106" s="2" t="s">
        <v>47</v>
      </c>
      <c r="O106" s="13" t="s">
        <v>48</v>
      </c>
      <c r="P106" s="10"/>
      <c r="Q106" s="12"/>
      <c r="R106" s="5"/>
    </row>
    <row r="107" spans="1:18" x14ac:dyDescent="0.25">
      <c r="A107" s="6" t="s">
        <v>44</v>
      </c>
      <c r="B107" s="7">
        <v>46205</v>
      </c>
      <c r="C107" s="6" t="s">
        <v>14</v>
      </c>
      <c r="D107" s="6" t="s">
        <v>49</v>
      </c>
      <c r="E107" s="8"/>
      <c r="F107" s="14">
        <v>500</v>
      </c>
      <c r="G107" s="14">
        <v>585</v>
      </c>
      <c r="H107" s="7">
        <v>48019</v>
      </c>
      <c r="I107" s="8"/>
      <c r="J107" s="15"/>
      <c r="K107" s="15"/>
      <c r="L107" s="6" t="s">
        <v>46</v>
      </c>
      <c r="M107" s="16">
        <v>0.4</v>
      </c>
      <c r="N107" s="6" t="s">
        <v>47</v>
      </c>
      <c r="O107" s="13" t="s">
        <v>48</v>
      </c>
      <c r="P107" s="14"/>
      <c r="Q107" s="16"/>
      <c r="R107" s="9"/>
    </row>
    <row r="108" spans="1:18" x14ac:dyDescent="0.25">
      <c r="A108" s="2" t="s">
        <v>44</v>
      </c>
      <c r="B108" s="3">
        <v>46205</v>
      </c>
      <c r="C108" s="2" t="s">
        <v>17</v>
      </c>
      <c r="D108" s="2" t="s">
        <v>54</v>
      </c>
      <c r="E108" s="4"/>
      <c r="F108" s="10">
        <v>100</v>
      </c>
      <c r="G108" s="10">
        <v>45.67</v>
      </c>
      <c r="H108" s="3">
        <v>48019</v>
      </c>
      <c r="I108" s="4"/>
      <c r="J108" s="11"/>
      <c r="K108" s="11"/>
      <c r="L108" s="2" t="s">
        <v>46</v>
      </c>
      <c r="M108" s="12">
        <v>0.4</v>
      </c>
      <c r="N108" s="2" t="s">
        <v>47</v>
      </c>
      <c r="O108" s="13" t="s">
        <v>48</v>
      </c>
      <c r="P108" s="10"/>
      <c r="Q108" s="12"/>
      <c r="R108" s="5"/>
    </row>
    <row r="109" spans="1:18" x14ac:dyDescent="0.25">
      <c r="A109" s="6" t="s">
        <v>44</v>
      </c>
      <c r="B109" s="7">
        <v>46205</v>
      </c>
      <c r="C109" s="6" t="s">
        <v>20</v>
      </c>
      <c r="D109" s="6" t="s">
        <v>50</v>
      </c>
      <c r="E109" s="8"/>
      <c r="F109" s="14">
        <v>100</v>
      </c>
      <c r="G109" s="14">
        <v>55</v>
      </c>
      <c r="H109" s="7">
        <v>48019</v>
      </c>
      <c r="I109" s="8"/>
      <c r="J109" s="15"/>
      <c r="K109" s="15"/>
      <c r="L109" s="6" t="s">
        <v>46</v>
      </c>
      <c r="M109" s="16">
        <v>0.4</v>
      </c>
      <c r="N109" s="6" t="s">
        <v>47</v>
      </c>
      <c r="O109" s="13" t="s">
        <v>48</v>
      </c>
      <c r="P109" s="14"/>
      <c r="Q109" s="16"/>
      <c r="R109" s="9"/>
    </row>
    <row r="110" spans="1:18" x14ac:dyDescent="0.25">
      <c r="A110" s="2" t="s">
        <v>44</v>
      </c>
      <c r="B110" s="3">
        <v>46205</v>
      </c>
      <c r="C110" s="2" t="s">
        <v>23</v>
      </c>
      <c r="D110" s="2" t="s">
        <v>51</v>
      </c>
      <c r="E110" s="4"/>
      <c r="F110" s="10">
        <v>100</v>
      </c>
      <c r="G110" s="10">
        <v>53.8</v>
      </c>
      <c r="H110" s="3">
        <v>48019</v>
      </c>
      <c r="I110" s="4"/>
      <c r="J110" s="11"/>
      <c r="K110" s="11"/>
      <c r="L110" s="2" t="s">
        <v>46</v>
      </c>
      <c r="M110" s="12">
        <v>0.4</v>
      </c>
      <c r="N110" s="2" t="s">
        <v>47</v>
      </c>
      <c r="O110" s="13" t="s">
        <v>48</v>
      </c>
      <c r="P110" s="10"/>
      <c r="Q110" s="12"/>
      <c r="R110" s="5"/>
    </row>
    <row r="111" spans="1:18" x14ac:dyDescent="0.25">
      <c r="A111" s="6" t="s">
        <v>44</v>
      </c>
      <c r="B111" s="7">
        <v>46205</v>
      </c>
      <c r="C111" s="6" t="s">
        <v>26</v>
      </c>
      <c r="D111" s="6" t="s">
        <v>52</v>
      </c>
      <c r="E111" s="8"/>
      <c r="F111" s="14">
        <v>100</v>
      </c>
      <c r="G111" s="14">
        <v>41.57</v>
      </c>
      <c r="H111" s="7">
        <v>48019</v>
      </c>
      <c r="I111" s="8"/>
      <c r="J111" s="15"/>
      <c r="K111" s="15"/>
      <c r="L111" s="6" t="s">
        <v>46</v>
      </c>
      <c r="M111" s="16">
        <v>0.4</v>
      </c>
      <c r="N111" s="6" t="s">
        <v>47</v>
      </c>
      <c r="O111" s="13" t="s">
        <v>48</v>
      </c>
      <c r="P111" s="14"/>
      <c r="Q111" s="16"/>
      <c r="R111" s="9"/>
    </row>
    <row r="112" spans="1:18" x14ac:dyDescent="0.25">
      <c r="A112" s="2" t="s">
        <v>44</v>
      </c>
      <c r="B112" s="3">
        <v>46205</v>
      </c>
      <c r="C112" s="2" t="s">
        <v>29</v>
      </c>
      <c r="D112" s="2" t="s">
        <v>53</v>
      </c>
      <c r="E112" s="4"/>
      <c r="F112" s="10">
        <v>100</v>
      </c>
      <c r="G112" s="10">
        <v>68</v>
      </c>
      <c r="H112" s="3">
        <v>48019</v>
      </c>
      <c r="I112" s="4"/>
      <c r="J112" s="11"/>
      <c r="K112" s="11"/>
      <c r="L112" s="2" t="s">
        <v>46</v>
      </c>
      <c r="M112" s="12">
        <v>0.4</v>
      </c>
      <c r="N112" s="2" t="s">
        <v>47</v>
      </c>
      <c r="O112" s="13" t="s">
        <v>48</v>
      </c>
      <c r="P112" s="10"/>
      <c r="Q112" s="12"/>
      <c r="R112" s="5"/>
    </row>
    <row r="113" spans="1:18" x14ac:dyDescent="0.25">
      <c r="A113" s="6" t="s">
        <v>44</v>
      </c>
      <c r="B113" s="7">
        <v>46206</v>
      </c>
      <c r="C113" s="6" t="s">
        <v>9</v>
      </c>
      <c r="D113" s="6" t="s">
        <v>45</v>
      </c>
      <c r="E113" s="8"/>
      <c r="F113" s="14">
        <v>100</v>
      </c>
      <c r="G113" s="14">
        <v>169.86</v>
      </c>
      <c r="H113" s="7">
        <v>48019</v>
      </c>
      <c r="I113" s="8"/>
      <c r="J113" s="15"/>
      <c r="K113" s="15"/>
      <c r="L113" s="6" t="s">
        <v>46</v>
      </c>
      <c r="M113" s="16">
        <v>0.4</v>
      </c>
      <c r="N113" s="6" t="s">
        <v>47</v>
      </c>
      <c r="O113" s="13" t="s">
        <v>48</v>
      </c>
      <c r="P113" s="14"/>
      <c r="Q113" s="16"/>
      <c r="R113" s="9"/>
    </row>
    <row r="114" spans="1:18" x14ac:dyDescent="0.25">
      <c r="A114" s="2" t="s">
        <v>44</v>
      </c>
      <c r="B114" s="3">
        <v>46206</v>
      </c>
      <c r="C114" s="2" t="s">
        <v>14</v>
      </c>
      <c r="D114" s="2" t="s">
        <v>49</v>
      </c>
      <c r="E114" s="4"/>
      <c r="F114" s="10">
        <v>500</v>
      </c>
      <c r="G114" s="10">
        <v>587.5</v>
      </c>
      <c r="H114" s="3">
        <v>48019</v>
      </c>
      <c r="I114" s="4"/>
      <c r="J114" s="11"/>
      <c r="K114" s="11"/>
      <c r="L114" s="2" t="s">
        <v>46</v>
      </c>
      <c r="M114" s="12">
        <v>0.4</v>
      </c>
      <c r="N114" s="2" t="s">
        <v>47</v>
      </c>
      <c r="O114" s="13" t="s">
        <v>48</v>
      </c>
      <c r="P114" s="10"/>
      <c r="Q114" s="12"/>
      <c r="R114" s="5"/>
    </row>
    <row r="115" spans="1:18" x14ac:dyDescent="0.25">
      <c r="A115" s="6" t="s">
        <v>44</v>
      </c>
      <c r="B115" s="7">
        <v>46206</v>
      </c>
      <c r="C115" s="6" t="s">
        <v>17</v>
      </c>
      <c r="D115" s="6" t="s">
        <v>54</v>
      </c>
      <c r="E115" s="8"/>
      <c r="F115" s="14">
        <v>100</v>
      </c>
      <c r="G115" s="14">
        <v>45.56</v>
      </c>
      <c r="H115" s="7">
        <v>48019</v>
      </c>
      <c r="I115" s="8"/>
      <c r="J115" s="15"/>
      <c r="K115" s="15"/>
      <c r="L115" s="6" t="s">
        <v>46</v>
      </c>
      <c r="M115" s="16">
        <v>0.4</v>
      </c>
      <c r="N115" s="6" t="s">
        <v>47</v>
      </c>
      <c r="O115" s="13" t="s">
        <v>48</v>
      </c>
      <c r="P115" s="14"/>
      <c r="Q115" s="16"/>
      <c r="R115" s="9"/>
    </row>
    <row r="116" spans="1:18" x14ac:dyDescent="0.25">
      <c r="A116" s="2" t="s">
        <v>44</v>
      </c>
      <c r="B116" s="3">
        <v>46206</v>
      </c>
      <c r="C116" s="2" t="s">
        <v>20</v>
      </c>
      <c r="D116" s="2" t="s">
        <v>50</v>
      </c>
      <c r="E116" s="4"/>
      <c r="F116" s="10">
        <v>100</v>
      </c>
      <c r="G116" s="10">
        <v>54.5</v>
      </c>
      <c r="H116" s="3">
        <v>48019</v>
      </c>
      <c r="I116" s="4"/>
      <c r="J116" s="11"/>
      <c r="K116" s="11"/>
      <c r="L116" s="2" t="s">
        <v>46</v>
      </c>
      <c r="M116" s="12">
        <v>0.4</v>
      </c>
      <c r="N116" s="2" t="s">
        <v>47</v>
      </c>
      <c r="O116" s="13" t="s">
        <v>48</v>
      </c>
      <c r="P116" s="10"/>
      <c r="Q116" s="12"/>
      <c r="R116" s="5"/>
    </row>
    <row r="117" spans="1:18" x14ac:dyDescent="0.25">
      <c r="A117" s="6" t="s">
        <v>44</v>
      </c>
      <c r="B117" s="7">
        <v>46206</v>
      </c>
      <c r="C117" s="6" t="s">
        <v>23</v>
      </c>
      <c r="D117" s="6" t="s">
        <v>51</v>
      </c>
      <c r="E117" s="8"/>
      <c r="F117" s="14">
        <v>100</v>
      </c>
      <c r="G117" s="14">
        <v>53.6</v>
      </c>
      <c r="H117" s="7">
        <v>48019</v>
      </c>
      <c r="I117" s="8"/>
      <c r="J117" s="15"/>
      <c r="K117" s="15"/>
      <c r="L117" s="6" t="s">
        <v>46</v>
      </c>
      <c r="M117" s="16">
        <v>0.4</v>
      </c>
      <c r="N117" s="6" t="s">
        <v>47</v>
      </c>
      <c r="O117" s="13" t="s">
        <v>48</v>
      </c>
      <c r="P117" s="14"/>
      <c r="Q117" s="16"/>
      <c r="R117" s="9"/>
    </row>
    <row r="118" spans="1:18" x14ac:dyDescent="0.25">
      <c r="A118" s="2" t="s">
        <v>44</v>
      </c>
      <c r="B118" s="3">
        <v>46206</v>
      </c>
      <c r="C118" s="2" t="s">
        <v>26</v>
      </c>
      <c r="D118" s="2" t="s">
        <v>52</v>
      </c>
      <c r="E118" s="4"/>
      <c r="F118" s="10">
        <v>100</v>
      </c>
      <c r="G118" s="10">
        <v>41.43</v>
      </c>
      <c r="H118" s="3">
        <v>48019</v>
      </c>
      <c r="I118" s="4"/>
      <c r="J118" s="11"/>
      <c r="K118" s="11"/>
      <c r="L118" s="2" t="s">
        <v>46</v>
      </c>
      <c r="M118" s="12">
        <v>0.4</v>
      </c>
      <c r="N118" s="2" t="s">
        <v>47</v>
      </c>
      <c r="O118" s="13" t="s">
        <v>48</v>
      </c>
      <c r="P118" s="10"/>
      <c r="Q118" s="12"/>
      <c r="R118" s="5"/>
    </row>
    <row r="119" spans="1:18" x14ac:dyDescent="0.25">
      <c r="A119" s="6" t="s">
        <v>44</v>
      </c>
      <c r="B119" s="7">
        <v>46206</v>
      </c>
      <c r="C119" s="6" t="s">
        <v>29</v>
      </c>
      <c r="D119" s="6" t="s">
        <v>53</v>
      </c>
      <c r="E119" s="8"/>
      <c r="F119" s="14">
        <v>100</v>
      </c>
      <c r="G119" s="14">
        <v>68.25</v>
      </c>
      <c r="H119" s="7">
        <v>48019</v>
      </c>
      <c r="I119" s="8"/>
      <c r="J119" s="15"/>
      <c r="K119" s="15"/>
      <c r="L119" s="6" t="s">
        <v>46</v>
      </c>
      <c r="M119" s="16">
        <v>0.4</v>
      </c>
      <c r="N119" s="6" t="s">
        <v>47</v>
      </c>
      <c r="O119" s="13" t="s">
        <v>48</v>
      </c>
      <c r="P119" s="14"/>
      <c r="Q119" s="16"/>
      <c r="R119" s="9"/>
    </row>
    <row r="120" spans="1:18" x14ac:dyDescent="0.25">
      <c r="A120" s="2" t="s">
        <v>44</v>
      </c>
      <c r="B120" s="3">
        <v>46209</v>
      </c>
      <c r="C120" s="2" t="s">
        <v>9</v>
      </c>
      <c r="D120" s="2" t="s">
        <v>45</v>
      </c>
      <c r="E120" s="4"/>
      <c r="F120" s="10">
        <v>100</v>
      </c>
      <c r="G120" s="10">
        <v>169</v>
      </c>
      <c r="H120" s="3">
        <v>48019</v>
      </c>
      <c r="I120" s="4"/>
      <c r="J120" s="11"/>
      <c r="K120" s="11"/>
      <c r="L120" s="2" t="s">
        <v>46</v>
      </c>
      <c r="M120" s="12">
        <v>0.4</v>
      </c>
      <c r="N120" s="2" t="s">
        <v>47</v>
      </c>
      <c r="O120" s="13" t="s">
        <v>48</v>
      </c>
      <c r="P120" s="10"/>
      <c r="Q120" s="12"/>
      <c r="R120" s="5"/>
    </row>
    <row r="121" spans="1:18" x14ac:dyDescent="0.25">
      <c r="A121" s="6" t="s">
        <v>44</v>
      </c>
      <c r="B121" s="7">
        <v>46209</v>
      </c>
      <c r="C121" s="6" t="s">
        <v>14</v>
      </c>
      <c r="D121" s="6" t="s">
        <v>49</v>
      </c>
      <c r="E121" s="8"/>
      <c r="F121" s="14">
        <v>500</v>
      </c>
      <c r="G121" s="14">
        <v>595</v>
      </c>
      <c r="H121" s="7">
        <v>48019</v>
      </c>
      <c r="I121" s="8"/>
      <c r="J121" s="15"/>
      <c r="K121" s="15"/>
      <c r="L121" s="6" t="s">
        <v>46</v>
      </c>
      <c r="M121" s="16">
        <v>0.4</v>
      </c>
      <c r="N121" s="6" t="s">
        <v>47</v>
      </c>
      <c r="O121" s="13" t="s">
        <v>48</v>
      </c>
      <c r="P121" s="14"/>
      <c r="Q121" s="16"/>
      <c r="R121" s="9"/>
    </row>
    <row r="122" spans="1:18" x14ac:dyDescent="0.25">
      <c r="A122" s="2" t="s">
        <v>44</v>
      </c>
      <c r="B122" s="3">
        <v>46209</v>
      </c>
      <c r="C122" s="2" t="s">
        <v>17</v>
      </c>
      <c r="D122" s="2" t="s">
        <v>54</v>
      </c>
      <c r="E122" s="4"/>
      <c r="F122" s="10">
        <v>100</v>
      </c>
      <c r="G122" s="10">
        <v>45.22</v>
      </c>
      <c r="H122" s="3">
        <v>48019</v>
      </c>
      <c r="I122" s="4"/>
      <c r="J122" s="11"/>
      <c r="K122" s="11"/>
      <c r="L122" s="2" t="s">
        <v>46</v>
      </c>
      <c r="M122" s="12">
        <v>0.4</v>
      </c>
      <c r="N122" s="2" t="s">
        <v>47</v>
      </c>
      <c r="O122" s="13" t="s">
        <v>48</v>
      </c>
      <c r="P122" s="10"/>
      <c r="Q122" s="12"/>
      <c r="R122" s="5"/>
    </row>
    <row r="123" spans="1:18" x14ac:dyDescent="0.25">
      <c r="A123" s="6" t="s">
        <v>44</v>
      </c>
      <c r="B123" s="7">
        <v>46209</v>
      </c>
      <c r="C123" s="6" t="s">
        <v>20</v>
      </c>
      <c r="D123" s="6" t="s">
        <v>50</v>
      </c>
      <c r="E123" s="8"/>
      <c r="F123" s="14">
        <v>100</v>
      </c>
      <c r="G123" s="14">
        <v>53</v>
      </c>
      <c r="H123" s="7">
        <v>48019</v>
      </c>
      <c r="I123" s="8"/>
      <c r="J123" s="15"/>
      <c r="K123" s="15"/>
      <c r="L123" s="6" t="s">
        <v>46</v>
      </c>
      <c r="M123" s="16">
        <v>0.4</v>
      </c>
      <c r="N123" s="6" t="s">
        <v>47</v>
      </c>
      <c r="O123" s="13" t="s">
        <v>48</v>
      </c>
      <c r="P123" s="14"/>
      <c r="Q123" s="16"/>
      <c r="R123" s="9"/>
    </row>
    <row r="124" spans="1:18" x14ac:dyDescent="0.25">
      <c r="A124" s="2" t="s">
        <v>44</v>
      </c>
      <c r="B124" s="3">
        <v>46209</v>
      </c>
      <c r="C124" s="2" t="s">
        <v>23</v>
      </c>
      <c r="D124" s="2" t="s">
        <v>51</v>
      </c>
      <c r="E124" s="4"/>
      <c r="F124" s="10">
        <v>100</v>
      </c>
      <c r="G124" s="10">
        <v>53</v>
      </c>
      <c r="H124" s="3">
        <v>48019</v>
      </c>
      <c r="I124" s="4"/>
      <c r="J124" s="11"/>
      <c r="K124" s="11"/>
      <c r="L124" s="2" t="s">
        <v>46</v>
      </c>
      <c r="M124" s="12">
        <v>0.4</v>
      </c>
      <c r="N124" s="2" t="s">
        <v>47</v>
      </c>
      <c r="O124" s="13" t="s">
        <v>48</v>
      </c>
      <c r="P124" s="10"/>
      <c r="Q124" s="12"/>
      <c r="R124" s="5"/>
    </row>
    <row r="125" spans="1:18" x14ac:dyDescent="0.25">
      <c r="A125" s="6" t="s">
        <v>44</v>
      </c>
      <c r="B125" s="7">
        <v>46209</v>
      </c>
      <c r="C125" s="6" t="s">
        <v>26</v>
      </c>
      <c r="D125" s="6" t="s">
        <v>52</v>
      </c>
      <c r="E125" s="8"/>
      <c r="F125" s="14">
        <v>100</v>
      </c>
      <c r="G125" s="14">
        <v>41</v>
      </c>
      <c r="H125" s="7">
        <v>48019</v>
      </c>
      <c r="I125" s="8"/>
      <c r="J125" s="15"/>
      <c r="K125" s="15"/>
      <c r="L125" s="6" t="s">
        <v>46</v>
      </c>
      <c r="M125" s="16">
        <v>0.4</v>
      </c>
      <c r="N125" s="6" t="s">
        <v>47</v>
      </c>
      <c r="O125" s="13" t="s">
        <v>48</v>
      </c>
      <c r="P125" s="14"/>
      <c r="Q125" s="16"/>
      <c r="R125" s="9"/>
    </row>
    <row r="126" spans="1:18" x14ac:dyDescent="0.25">
      <c r="A126" s="2" t="s">
        <v>44</v>
      </c>
      <c r="B126" s="3">
        <v>46209</v>
      </c>
      <c r="C126" s="2" t="s">
        <v>29</v>
      </c>
      <c r="D126" s="2" t="s">
        <v>53</v>
      </c>
      <c r="E126" s="4"/>
      <c r="F126" s="10">
        <v>100</v>
      </c>
      <c r="G126" s="10">
        <v>69</v>
      </c>
      <c r="H126" s="3">
        <v>48019</v>
      </c>
      <c r="I126" s="4"/>
      <c r="J126" s="11"/>
      <c r="K126" s="11"/>
      <c r="L126" s="2" t="s">
        <v>46</v>
      </c>
      <c r="M126" s="12">
        <v>0.4</v>
      </c>
      <c r="N126" s="2" t="s">
        <v>47</v>
      </c>
      <c r="O126" s="13" t="s">
        <v>48</v>
      </c>
      <c r="P126" s="10"/>
      <c r="Q126" s="12"/>
      <c r="R126" s="5"/>
    </row>
    <row r="127" spans="1:18" x14ac:dyDescent="0.25">
      <c r="A127" s="6" t="s">
        <v>44</v>
      </c>
      <c r="B127" s="7">
        <v>46210</v>
      </c>
      <c r="C127" s="6" t="s">
        <v>9</v>
      </c>
      <c r="D127" s="6" t="s">
        <v>45</v>
      </c>
      <c r="E127" s="8"/>
      <c r="F127" s="14">
        <v>100</v>
      </c>
      <c r="G127" s="14">
        <v>171.57</v>
      </c>
      <c r="H127" s="7">
        <v>48019</v>
      </c>
      <c r="I127" s="8"/>
      <c r="J127" s="15"/>
      <c r="K127" s="15"/>
      <c r="L127" s="6" t="s">
        <v>46</v>
      </c>
      <c r="M127" s="16">
        <v>0.4</v>
      </c>
      <c r="N127" s="6" t="s">
        <v>47</v>
      </c>
      <c r="O127" s="13" t="s">
        <v>48</v>
      </c>
      <c r="P127" s="14"/>
      <c r="Q127" s="16"/>
      <c r="R127" s="9"/>
    </row>
    <row r="128" spans="1:18" x14ac:dyDescent="0.25">
      <c r="A128" s="2" t="s">
        <v>44</v>
      </c>
      <c r="B128" s="3">
        <v>46210</v>
      </c>
      <c r="C128" s="2" t="s">
        <v>14</v>
      </c>
      <c r="D128" s="2" t="s">
        <v>49</v>
      </c>
      <c r="E128" s="4"/>
      <c r="F128" s="10">
        <v>500</v>
      </c>
      <c r="G128" s="10">
        <v>597.5</v>
      </c>
      <c r="H128" s="3">
        <v>48019</v>
      </c>
      <c r="I128" s="4"/>
      <c r="J128" s="11"/>
      <c r="K128" s="11"/>
      <c r="L128" s="2" t="s">
        <v>46</v>
      </c>
      <c r="M128" s="12">
        <v>0.4</v>
      </c>
      <c r="N128" s="2" t="s">
        <v>47</v>
      </c>
      <c r="O128" s="13" t="s">
        <v>48</v>
      </c>
      <c r="P128" s="10"/>
      <c r="Q128" s="12"/>
      <c r="R128" s="5"/>
    </row>
    <row r="129" spans="1:18" x14ac:dyDescent="0.25">
      <c r="A129" s="6" t="s">
        <v>44</v>
      </c>
      <c r="B129" s="7">
        <v>46210</v>
      </c>
      <c r="C129" s="6" t="s">
        <v>17</v>
      </c>
      <c r="D129" s="6" t="s">
        <v>54</v>
      </c>
      <c r="E129" s="8"/>
      <c r="F129" s="14">
        <v>100</v>
      </c>
      <c r="G129" s="14">
        <v>45.11</v>
      </c>
      <c r="H129" s="7">
        <v>48019</v>
      </c>
      <c r="I129" s="8"/>
      <c r="J129" s="15"/>
      <c r="K129" s="15"/>
      <c r="L129" s="6" t="s">
        <v>46</v>
      </c>
      <c r="M129" s="16">
        <v>0.4</v>
      </c>
      <c r="N129" s="6" t="s">
        <v>47</v>
      </c>
      <c r="O129" s="13" t="s">
        <v>48</v>
      </c>
      <c r="P129" s="14"/>
      <c r="Q129" s="16"/>
      <c r="R129" s="9"/>
    </row>
    <row r="130" spans="1:18" x14ac:dyDescent="0.25">
      <c r="A130" s="2" t="s">
        <v>44</v>
      </c>
      <c r="B130" s="3">
        <v>46210</v>
      </c>
      <c r="C130" s="2" t="s">
        <v>20</v>
      </c>
      <c r="D130" s="2" t="s">
        <v>50</v>
      </c>
      <c r="E130" s="4"/>
      <c r="F130" s="10">
        <v>100</v>
      </c>
      <c r="G130" s="10">
        <v>54</v>
      </c>
      <c r="H130" s="3">
        <v>48019</v>
      </c>
      <c r="I130" s="4"/>
      <c r="J130" s="11"/>
      <c r="K130" s="11"/>
      <c r="L130" s="2" t="s">
        <v>46</v>
      </c>
      <c r="M130" s="12">
        <v>0.4</v>
      </c>
      <c r="N130" s="2" t="s">
        <v>47</v>
      </c>
      <c r="O130" s="13" t="s">
        <v>48</v>
      </c>
      <c r="P130" s="10"/>
      <c r="Q130" s="12"/>
      <c r="R130" s="5"/>
    </row>
    <row r="131" spans="1:18" x14ac:dyDescent="0.25">
      <c r="A131" s="6" t="s">
        <v>44</v>
      </c>
      <c r="B131" s="7">
        <v>46210</v>
      </c>
      <c r="C131" s="6" t="s">
        <v>23</v>
      </c>
      <c r="D131" s="6" t="s">
        <v>51</v>
      </c>
      <c r="E131" s="8"/>
      <c r="F131" s="14">
        <v>100</v>
      </c>
      <c r="G131" s="14">
        <v>54</v>
      </c>
      <c r="H131" s="7">
        <v>48019</v>
      </c>
      <c r="I131" s="8"/>
      <c r="J131" s="15"/>
      <c r="K131" s="15"/>
      <c r="L131" s="6" t="s">
        <v>46</v>
      </c>
      <c r="M131" s="16">
        <v>0.4</v>
      </c>
      <c r="N131" s="6" t="s">
        <v>47</v>
      </c>
      <c r="O131" s="13" t="s">
        <v>48</v>
      </c>
      <c r="P131" s="14"/>
      <c r="Q131" s="16"/>
      <c r="R131" s="9"/>
    </row>
    <row r="132" spans="1:18" x14ac:dyDescent="0.25">
      <c r="A132" s="2" t="s">
        <v>44</v>
      </c>
      <c r="B132" s="3">
        <v>46210</v>
      </c>
      <c r="C132" s="2" t="s">
        <v>26</v>
      </c>
      <c r="D132" s="2" t="s">
        <v>52</v>
      </c>
      <c r="E132" s="4"/>
      <c r="F132" s="10">
        <v>100</v>
      </c>
      <c r="G132" s="10">
        <v>42</v>
      </c>
      <c r="H132" s="3">
        <v>48019</v>
      </c>
      <c r="I132" s="4"/>
      <c r="J132" s="11"/>
      <c r="K132" s="11"/>
      <c r="L132" s="2" t="s">
        <v>46</v>
      </c>
      <c r="M132" s="12">
        <v>0.4</v>
      </c>
      <c r="N132" s="2" t="s">
        <v>47</v>
      </c>
      <c r="O132" s="13" t="s">
        <v>48</v>
      </c>
      <c r="P132" s="10"/>
      <c r="Q132" s="12"/>
      <c r="R132" s="5"/>
    </row>
    <row r="133" spans="1:18" x14ac:dyDescent="0.25">
      <c r="A133" s="6" t="s">
        <v>44</v>
      </c>
      <c r="B133" s="7">
        <v>46210</v>
      </c>
      <c r="C133" s="6" t="s">
        <v>29</v>
      </c>
      <c r="D133" s="6" t="s">
        <v>53</v>
      </c>
      <c r="E133" s="8"/>
      <c r="F133" s="14">
        <v>100</v>
      </c>
      <c r="G133" s="14">
        <v>70.43</v>
      </c>
      <c r="H133" s="7">
        <v>48019</v>
      </c>
      <c r="I133" s="8"/>
      <c r="J133" s="15"/>
      <c r="K133" s="15"/>
      <c r="L133" s="6" t="s">
        <v>46</v>
      </c>
      <c r="M133" s="16">
        <v>0.4</v>
      </c>
      <c r="N133" s="6" t="s">
        <v>47</v>
      </c>
      <c r="O133" s="13" t="s">
        <v>48</v>
      </c>
      <c r="P133" s="14"/>
      <c r="Q133" s="16"/>
      <c r="R133" s="9"/>
    </row>
    <row r="134" spans="1:18" x14ac:dyDescent="0.25">
      <c r="A134" s="2" t="s">
        <v>44</v>
      </c>
      <c r="B134" s="3">
        <v>46211</v>
      </c>
      <c r="C134" s="2" t="s">
        <v>9</v>
      </c>
      <c r="D134" s="2" t="s">
        <v>45</v>
      </c>
      <c r="E134" s="4"/>
      <c r="F134" s="10">
        <v>100</v>
      </c>
      <c r="G134" s="10">
        <v>174.14</v>
      </c>
      <c r="H134" s="3">
        <v>48019</v>
      </c>
      <c r="I134" s="4"/>
      <c r="J134" s="11"/>
      <c r="K134" s="11"/>
      <c r="L134" s="2" t="s">
        <v>46</v>
      </c>
      <c r="M134" s="12">
        <v>0.4</v>
      </c>
      <c r="N134" s="2" t="s">
        <v>47</v>
      </c>
      <c r="O134" s="13" t="s">
        <v>48</v>
      </c>
      <c r="P134" s="10"/>
      <c r="Q134" s="12"/>
      <c r="R134" s="5"/>
    </row>
    <row r="135" spans="1:18" x14ac:dyDescent="0.25">
      <c r="A135" s="6" t="s">
        <v>44</v>
      </c>
      <c r="B135" s="7">
        <v>46211</v>
      </c>
      <c r="C135" s="6" t="s">
        <v>14</v>
      </c>
      <c r="D135" s="6" t="s">
        <v>49</v>
      </c>
      <c r="E135" s="8"/>
      <c r="F135" s="14">
        <v>500</v>
      </c>
      <c r="G135" s="14">
        <v>600</v>
      </c>
      <c r="H135" s="7">
        <v>48019</v>
      </c>
      <c r="I135" s="8"/>
      <c r="J135" s="15"/>
      <c r="K135" s="15"/>
      <c r="L135" s="6" t="s">
        <v>46</v>
      </c>
      <c r="M135" s="16">
        <v>0.4</v>
      </c>
      <c r="N135" s="6" t="s">
        <v>47</v>
      </c>
      <c r="O135" s="13" t="s">
        <v>48</v>
      </c>
      <c r="P135" s="14"/>
      <c r="Q135" s="16"/>
      <c r="R135" s="9"/>
    </row>
    <row r="136" spans="1:18" x14ac:dyDescent="0.25">
      <c r="A136" s="2" t="s">
        <v>44</v>
      </c>
      <c r="B136" s="3">
        <v>46211</v>
      </c>
      <c r="C136" s="2" t="s">
        <v>17</v>
      </c>
      <c r="D136" s="2" t="s">
        <v>54</v>
      </c>
      <c r="E136" s="4"/>
      <c r="F136" s="10">
        <v>100</v>
      </c>
      <c r="G136" s="10">
        <v>45</v>
      </c>
      <c r="H136" s="3">
        <v>48019</v>
      </c>
      <c r="I136" s="4"/>
      <c r="J136" s="11"/>
      <c r="K136" s="11"/>
      <c r="L136" s="2" t="s">
        <v>46</v>
      </c>
      <c r="M136" s="12">
        <v>0.4</v>
      </c>
      <c r="N136" s="2" t="s">
        <v>47</v>
      </c>
      <c r="O136" s="13" t="s">
        <v>48</v>
      </c>
      <c r="P136" s="10"/>
      <c r="Q136" s="12"/>
      <c r="R136" s="5"/>
    </row>
    <row r="137" spans="1:18" x14ac:dyDescent="0.25">
      <c r="A137" s="6" t="s">
        <v>44</v>
      </c>
      <c r="B137" s="7">
        <v>46211</v>
      </c>
      <c r="C137" s="6" t="s">
        <v>20</v>
      </c>
      <c r="D137" s="6" t="s">
        <v>50</v>
      </c>
      <c r="E137" s="8"/>
      <c r="F137" s="14">
        <v>100</v>
      </c>
      <c r="G137" s="14">
        <v>55</v>
      </c>
      <c r="H137" s="7">
        <v>48019</v>
      </c>
      <c r="I137" s="8"/>
      <c r="J137" s="15"/>
      <c r="K137" s="15"/>
      <c r="L137" s="6" t="s">
        <v>46</v>
      </c>
      <c r="M137" s="16">
        <v>0.4</v>
      </c>
      <c r="N137" s="6" t="s">
        <v>47</v>
      </c>
      <c r="O137" s="13" t="s">
        <v>48</v>
      </c>
      <c r="P137" s="14"/>
      <c r="Q137" s="16"/>
      <c r="R137" s="9"/>
    </row>
    <row r="138" spans="1:18" x14ac:dyDescent="0.25">
      <c r="A138" s="2" t="s">
        <v>44</v>
      </c>
      <c r="B138" s="3">
        <v>46211</v>
      </c>
      <c r="C138" s="2" t="s">
        <v>23</v>
      </c>
      <c r="D138" s="2" t="s">
        <v>51</v>
      </c>
      <c r="E138" s="4"/>
      <c r="F138" s="10">
        <v>100</v>
      </c>
      <c r="G138" s="10">
        <v>55</v>
      </c>
      <c r="H138" s="3">
        <v>48019</v>
      </c>
      <c r="I138" s="4"/>
      <c r="J138" s="11"/>
      <c r="K138" s="11"/>
      <c r="L138" s="2" t="s">
        <v>46</v>
      </c>
      <c r="M138" s="12">
        <v>0.4</v>
      </c>
      <c r="N138" s="2" t="s">
        <v>47</v>
      </c>
      <c r="O138" s="13" t="s">
        <v>48</v>
      </c>
      <c r="P138" s="10"/>
      <c r="Q138" s="12"/>
      <c r="R138" s="5"/>
    </row>
    <row r="139" spans="1:18" x14ac:dyDescent="0.25">
      <c r="A139" s="6" t="s">
        <v>44</v>
      </c>
      <c r="B139" s="7">
        <v>46211</v>
      </c>
      <c r="C139" s="6" t="s">
        <v>26</v>
      </c>
      <c r="D139" s="6" t="s">
        <v>52</v>
      </c>
      <c r="E139" s="8"/>
      <c r="F139" s="14">
        <v>100</v>
      </c>
      <c r="G139" s="14">
        <v>43</v>
      </c>
      <c r="H139" s="7">
        <v>48019</v>
      </c>
      <c r="I139" s="8"/>
      <c r="J139" s="15"/>
      <c r="K139" s="15"/>
      <c r="L139" s="6" t="s">
        <v>46</v>
      </c>
      <c r="M139" s="16">
        <v>0.4</v>
      </c>
      <c r="N139" s="6" t="s">
        <v>47</v>
      </c>
      <c r="O139" s="13" t="s">
        <v>48</v>
      </c>
      <c r="P139" s="14"/>
      <c r="Q139" s="16"/>
      <c r="R139" s="9"/>
    </row>
    <row r="140" spans="1:18" x14ac:dyDescent="0.25">
      <c r="A140" s="2" t="s">
        <v>44</v>
      </c>
      <c r="B140" s="3">
        <v>46211</v>
      </c>
      <c r="C140" s="2" t="s">
        <v>29</v>
      </c>
      <c r="D140" s="2" t="s">
        <v>53</v>
      </c>
      <c r="E140" s="4"/>
      <c r="F140" s="10">
        <v>100</v>
      </c>
      <c r="G140" s="10">
        <v>71.86</v>
      </c>
      <c r="H140" s="3">
        <v>48019</v>
      </c>
      <c r="I140" s="4"/>
      <c r="J140" s="11"/>
      <c r="K140" s="11"/>
      <c r="L140" s="2" t="s">
        <v>46</v>
      </c>
      <c r="M140" s="12">
        <v>0.4</v>
      </c>
      <c r="N140" s="2" t="s">
        <v>47</v>
      </c>
      <c r="O140" s="13" t="s">
        <v>48</v>
      </c>
      <c r="P140" s="10"/>
      <c r="Q140" s="12"/>
      <c r="R140" s="5"/>
    </row>
    <row r="141" spans="1:18" x14ac:dyDescent="0.25">
      <c r="A141" s="6" t="s">
        <v>44</v>
      </c>
      <c r="B141" s="7">
        <v>46212</v>
      </c>
      <c r="C141" s="6" t="s">
        <v>9</v>
      </c>
      <c r="D141" s="6" t="s">
        <v>45</v>
      </c>
      <c r="E141" s="8"/>
      <c r="F141" s="14">
        <v>100</v>
      </c>
      <c r="G141" s="14">
        <v>176.71</v>
      </c>
      <c r="H141" s="7">
        <v>48019</v>
      </c>
      <c r="I141" s="8"/>
      <c r="J141" s="15"/>
      <c r="K141" s="15"/>
      <c r="L141" s="6" t="s">
        <v>46</v>
      </c>
      <c r="M141" s="16">
        <v>0.4</v>
      </c>
      <c r="N141" s="6" t="s">
        <v>47</v>
      </c>
      <c r="O141" s="13" t="s">
        <v>48</v>
      </c>
      <c r="P141" s="14"/>
      <c r="Q141" s="16"/>
      <c r="R141" s="9"/>
    </row>
    <row r="142" spans="1:18" x14ac:dyDescent="0.25">
      <c r="A142" s="2" t="s">
        <v>44</v>
      </c>
      <c r="B142" s="3">
        <v>46212</v>
      </c>
      <c r="C142" s="2" t="s">
        <v>14</v>
      </c>
      <c r="D142" s="2" t="s">
        <v>49</v>
      </c>
      <c r="E142" s="4"/>
      <c r="F142" s="10">
        <v>500</v>
      </c>
      <c r="G142" s="10">
        <v>587.5</v>
      </c>
      <c r="H142" s="3">
        <v>48019</v>
      </c>
      <c r="I142" s="4"/>
      <c r="J142" s="11"/>
      <c r="K142" s="11"/>
      <c r="L142" s="2" t="s">
        <v>46</v>
      </c>
      <c r="M142" s="12">
        <v>0.4</v>
      </c>
      <c r="N142" s="2" t="s">
        <v>47</v>
      </c>
      <c r="O142" s="13" t="s">
        <v>48</v>
      </c>
      <c r="P142" s="10"/>
      <c r="Q142" s="12"/>
      <c r="R142" s="5"/>
    </row>
    <row r="143" spans="1:18" x14ac:dyDescent="0.25">
      <c r="A143" s="6" t="s">
        <v>44</v>
      </c>
      <c r="B143" s="7">
        <v>46212</v>
      </c>
      <c r="C143" s="6" t="s">
        <v>17</v>
      </c>
      <c r="D143" s="6" t="s">
        <v>54</v>
      </c>
      <c r="E143" s="8"/>
      <c r="F143" s="14">
        <v>100</v>
      </c>
      <c r="G143" s="14">
        <v>47</v>
      </c>
      <c r="H143" s="7">
        <v>48019</v>
      </c>
      <c r="I143" s="8"/>
      <c r="J143" s="15"/>
      <c r="K143" s="15"/>
      <c r="L143" s="6" t="s">
        <v>46</v>
      </c>
      <c r="M143" s="16">
        <v>0.4</v>
      </c>
      <c r="N143" s="6" t="s">
        <v>47</v>
      </c>
      <c r="O143" s="13" t="s">
        <v>48</v>
      </c>
      <c r="P143" s="14"/>
      <c r="Q143" s="16"/>
      <c r="R143" s="9"/>
    </row>
    <row r="144" spans="1:18" x14ac:dyDescent="0.25">
      <c r="A144" s="2" t="s">
        <v>44</v>
      </c>
      <c r="B144" s="3">
        <v>46212</v>
      </c>
      <c r="C144" s="2" t="s">
        <v>20</v>
      </c>
      <c r="D144" s="2" t="s">
        <v>50</v>
      </c>
      <c r="E144" s="4"/>
      <c r="F144" s="10">
        <v>100</v>
      </c>
      <c r="G144" s="10">
        <v>56</v>
      </c>
      <c r="H144" s="3">
        <v>48019</v>
      </c>
      <c r="I144" s="4"/>
      <c r="J144" s="11"/>
      <c r="K144" s="11"/>
      <c r="L144" s="2" t="s">
        <v>46</v>
      </c>
      <c r="M144" s="12">
        <v>0.4</v>
      </c>
      <c r="N144" s="2" t="s">
        <v>47</v>
      </c>
      <c r="O144" s="13" t="s">
        <v>48</v>
      </c>
      <c r="P144" s="10"/>
      <c r="Q144" s="12"/>
      <c r="R144" s="5"/>
    </row>
    <row r="145" spans="1:18" x14ac:dyDescent="0.25">
      <c r="A145" s="6" t="s">
        <v>44</v>
      </c>
      <c r="B145" s="7">
        <v>46212</v>
      </c>
      <c r="C145" s="6" t="s">
        <v>23</v>
      </c>
      <c r="D145" s="6" t="s">
        <v>51</v>
      </c>
      <c r="E145" s="8"/>
      <c r="F145" s="14">
        <v>100</v>
      </c>
      <c r="G145" s="14">
        <v>56</v>
      </c>
      <c r="H145" s="7">
        <v>48019</v>
      </c>
      <c r="I145" s="8"/>
      <c r="J145" s="15"/>
      <c r="K145" s="15"/>
      <c r="L145" s="6" t="s">
        <v>46</v>
      </c>
      <c r="M145" s="16">
        <v>0.4</v>
      </c>
      <c r="N145" s="6" t="s">
        <v>47</v>
      </c>
      <c r="O145" s="13" t="s">
        <v>48</v>
      </c>
      <c r="P145" s="14"/>
      <c r="Q145" s="16"/>
      <c r="R145" s="9"/>
    </row>
    <row r="146" spans="1:18" x14ac:dyDescent="0.25">
      <c r="A146" s="2" t="s">
        <v>44</v>
      </c>
      <c r="B146" s="3">
        <v>46212</v>
      </c>
      <c r="C146" s="2" t="s">
        <v>26</v>
      </c>
      <c r="D146" s="2" t="s">
        <v>52</v>
      </c>
      <c r="E146" s="4"/>
      <c r="F146" s="10">
        <v>100</v>
      </c>
      <c r="G146" s="10">
        <v>44</v>
      </c>
      <c r="H146" s="3">
        <v>48019</v>
      </c>
      <c r="I146" s="4"/>
      <c r="J146" s="11"/>
      <c r="K146" s="11"/>
      <c r="L146" s="2" t="s">
        <v>46</v>
      </c>
      <c r="M146" s="12">
        <v>0.4</v>
      </c>
      <c r="N146" s="2" t="s">
        <v>47</v>
      </c>
      <c r="O146" s="13" t="s">
        <v>48</v>
      </c>
      <c r="P146" s="10"/>
      <c r="Q146" s="12"/>
      <c r="R146" s="5"/>
    </row>
    <row r="147" spans="1:18" x14ac:dyDescent="0.25">
      <c r="A147" s="6" t="s">
        <v>44</v>
      </c>
      <c r="B147" s="7">
        <v>46212</v>
      </c>
      <c r="C147" s="6" t="s">
        <v>29</v>
      </c>
      <c r="D147" s="6" t="s">
        <v>53</v>
      </c>
      <c r="E147" s="8"/>
      <c r="F147" s="14">
        <v>100</v>
      </c>
      <c r="G147" s="14">
        <v>73.29</v>
      </c>
      <c r="H147" s="7">
        <v>48019</v>
      </c>
      <c r="I147" s="8"/>
      <c r="J147" s="15"/>
      <c r="K147" s="15"/>
      <c r="L147" s="6" t="s">
        <v>46</v>
      </c>
      <c r="M147" s="16">
        <v>0.4</v>
      </c>
      <c r="N147" s="6" t="s">
        <v>47</v>
      </c>
      <c r="O147" s="13" t="s">
        <v>48</v>
      </c>
      <c r="P147" s="14"/>
      <c r="Q147" s="16"/>
      <c r="R147" s="9"/>
    </row>
    <row r="148" spans="1:18" x14ac:dyDescent="0.25">
      <c r="A148" s="2" t="s">
        <v>44</v>
      </c>
      <c r="B148" s="3">
        <v>46213</v>
      </c>
      <c r="C148" s="2" t="s">
        <v>9</v>
      </c>
      <c r="D148" s="2" t="s">
        <v>45</v>
      </c>
      <c r="E148" s="4"/>
      <c r="F148" s="10">
        <v>100</v>
      </c>
      <c r="G148" s="10">
        <v>179.29</v>
      </c>
      <c r="H148" s="3">
        <v>48019</v>
      </c>
      <c r="I148" s="4"/>
      <c r="J148" s="11"/>
      <c r="K148" s="11"/>
      <c r="L148" s="2" t="s">
        <v>46</v>
      </c>
      <c r="M148" s="12">
        <v>0.4</v>
      </c>
      <c r="N148" s="2" t="s">
        <v>47</v>
      </c>
      <c r="O148" s="13" t="s">
        <v>48</v>
      </c>
      <c r="P148" s="10"/>
      <c r="Q148" s="12"/>
      <c r="R148" s="5"/>
    </row>
    <row r="149" spans="1:18" x14ac:dyDescent="0.25">
      <c r="A149" s="6" t="s">
        <v>44</v>
      </c>
      <c r="B149" s="7">
        <v>46213</v>
      </c>
      <c r="C149" s="6" t="s">
        <v>14</v>
      </c>
      <c r="D149" s="6" t="s">
        <v>49</v>
      </c>
      <c r="E149" s="8"/>
      <c r="F149" s="14">
        <v>500</v>
      </c>
      <c r="G149" s="14">
        <v>575</v>
      </c>
      <c r="H149" s="7">
        <v>48019</v>
      </c>
      <c r="I149" s="8"/>
      <c r="J149" s="15"/>
      <c r="K149" s="15"/>
      <c r="L149" s="6" t="s">
        <v>46</v>
      </c>
      <c r="M149" s="16">
        <v>0.4</v>
      </c>
      <c r="N149" s="6" t="s">
        <v>47</v>
      </c>
      <c r="O149" s="13" t="s">
        <v>48</v>
      </c>
      <c r="P149" s="14"/>
      <c r="Q149" s="16"/>
      <c r="R149" s="9"/>
    </row>
    <row r="150" spans="1:18" x14ac:dyDescent="0.25">
      <c r="A150" s="2" t="s">
        <v>44</v>
      </c>
      <c r="B150" s="3">
        <v>46213</v>
      </c>
      <c r="C150" s="2" t="s">
        <v>17</v>
      </c>
      <c r="D150" s="2" t="s">
        <v>54</v>
      </c>
      <c r="E150" s="4"/>
      <c r="F150" s="10">
        <v>100</v>
      </c>
      <c r="G150" s="10">
        <v>49</v>
      </c>
      <c r="H150" s="3">
        <v>48019</v>
      </c>
      <c r="I150" s="4"/>
      <c r="J150" s="11"/>
      <c r="K150" s="11"/>
      <c r="L150" s="2" t="s">
        <v>46</v>
      </c>
      <c r="M150" s="12">
        <v>0.4</v>
      </c>
      <c r="N150" s="2" t="s">
        <v>47</v>
      </c>
      <c r="O150" s="13" t="s">
        <v>48</v>
      </c>
      <c r="P150" s="10"/>
      <c r="Q150" s="12"/>
      <c r="R150" s="5"/>
    </row>
    <row r="151" spans="1:18" x14ac:dyDescent="0.25">
      <c r="A151" s="6" t="s">
        <v>44</v>
      </c>
      <c r="B151" s="7">
        <v>46213</v>
      </c>
      <c r="C151" s="6" t="s">
        <v>20</v>
      </c>
      <c r="D151" s="6" t="s">
        <v>50</v>
      </c>
      <c r="E151" s="8"/>
      <c r="F151" s="14">
        <v>100</v>
      </c>
      <c r="G151" s="14">
        <v>57</v>
      </c>
      <c r="H151" s="7">
        <v>48019</v>
      </c>
      <c r="I151" s="8"/>
      <c r="J151" s="15"/>
      <c r="K151" s="15"/>
      <c r="L151" s="6" t="s">
        <v>46</v>
      </c>
      <c r="M151" s="16">
        <v>0.4</v>
      </c>
      <c r="N151" s="6" t="s">
        <v>47</v>
      </c>
      <c r="O151" s="13" t="s">
        <v>48</v>
      </c>
      <c r="P151" s="14"/>
      <c r="Q151" s="16"/>
      <c r="R151" s="9"/>
    </row>
    <row r="152" spans="1:18" x14ac:dyDescent="0.25">
      <c r="A152" s="2" t="s">
        <v>44</v>
      </c>
      <c r="B152" s="3">
        <v>46213</v>
      </c>
      <c r="C152" s="2" t="s">
        <v>23</v>
      </c>
      <c r="D152" s="2" t="s">
        <v>51</v>
      </c>
      <c r="E152" s="4"/>
      <c r="F152" s="10">
        <v>100</v>
      </c>
      <c r="G152" s="10">
        <v>57</v>
      </c>
      <c r="H152" s="3">
        <v>48019</v>
      </c>
      <c r="I152" s="4"/>
      <c r="J152" s="11"/>
      <c r="K152" s="11"/>
      <c r="L152" s="2" t="s">
        <v>46</v>
      </c>
      <c r="M152" s="12">
        <v>0.4</v>
      </c>
      <c r="N152" s="2" t="s">
        <v>47</v>
      </c>
      <c r="O152" s="13" t="s">
        <v>48</v>
      </c>
      <c r="P152" s="10"/>
      <c r="Q152" s="12"/>
      <c r="R152" s="5"/>
    </row>
    <row r="153" spans="1:18" x14ac:dyDescent="0.25">
      <c r="A153" s="6" t="s">
        <v>44</v>
      </c>
      <c r="B153" s="7">
        <v>46213</v>
      </c>
      <c r="C153" s="6" t="s">
        <v>26</v>
      </c>
      <c r="D153" s="6" t="s">
        <v>52</v>
      </c>
      <c r="E153" s="8"/>
      <c r="F153" s="14">
        <v>100</v>
      </c>
      <c r="G153" s="14">
        <v>45</v>
      </c>
      <c r="H153" s="7">
        <v>48019</v>
      </c>
      <c r="I153" s="8"/>
      <c r="J153" s="15"/>
      <c r="K153" s="15"/>
      <c r="L153" s="6" t="s">
        <v>46</v>
      </c>
      <c r="M153" s="16">
        <v>0.4</v>
      </c>
      <c r="N153" s="6" t="s">
        <v>47</v>
      </c>
      <c r="O153" s="13" t="s">
        <v>48</v>
      </c>
      <c r="P153" s="14"/>
      <c r="Q153" s="16"/>
      <c r="R153" s="9"/>
    </row>
    <row r="154" spans="1:18" x14ac:dyDescent="0.25">
      <c r="A154" s="2" t="s">
        <v>44</v>
      </c>
      <c r="B154" s="3">
        <v>46213</v>
      </c>
      <c r="C154" s="2" t="s">
        <v>29</v>
      </c>
      <c r="D154" s="2" t="s">
        <v>53</v>
      </c>
      <c r="E154" s="4"/>
      <c r="F154" s="10">
        <v>100</v>
      </c>
      <c r="G154" s="10">
        <v>74.71</v>
      </c>
      <c r="H154" s="3">
        <v>48019</v>
      </c>
      <c r="I154" s="4"/>
      <c r="J154" s="11"/>
      <c r="K154" s="11"/>
      <c r="L154" s="2" t="s">
        <v>46</v>
      </c>
      <c r="M154" s="12">
        <v>0.4</v>
      </c>
      <c r="N154" s="2" t="s">
        <v>47</v>
      </c>
      <c r="O154" s="13" t="s">
        <v>48</v>
      </c>
      <c r="P154" s="10"/>
      <c r="Q154" s="12"/>
      <c r="R154" s="5"/>
    </row>
    <row r="155" spans="1:18" x14ac:dyDescent="0.25">
      <c r="A155" s="6" t="s">
        <v>44</v>
      </c>
      <c r="B155" s="7">
        <v>46216</v>
      </c>
      <c r="C155" s="6" t="s">
        <v>9</v>
      </c>
      <c r="D155" s="6" t="s">
        <v>45</v>
      </c>
      <c r="E155" s="8"/>
      <c r="F155" s="14">
        <v>100</v>
      </c>
      <c r="G155" s="14">
        <v>187</v>
      </c>
      <c r="H155" s="7">
        <v>48019</v>
      </c>
      <c r="I155" s="8"/>
      <c r="J155" s="15"/>
      <c r="K155" s="15"/>
      <c r="L155" s="6" t="s">
        <v>46</v>
      </c>
      <c r="M155" s="16">
        <v>0.4</v>
      </c>
      <c r="N155" s="6" t="s">
        <v>47</v>
      </c>
      <c r="O155" s="13" t="s">
        <v>48</v>
      </c>
      <c r="P155" s="14"/>
      <c r="Q155" s="16"/>
      <c r="R155" s="9"/>
    </row>
    <row r="156" spans="1:18" x14ac:dyDescent="0.25">
      <c r="A156" s="2" t="s">
        <v>44</v>
      </c>
      <c r="B156" s="3">
        <v>46216</v>
      </c>
      <c r="C156" s="2" t="s">
        <v>14</v>
      </c>
      <c r="D156" s="2" t="s">
        <v>49</v>
      </c>
      <c r="E156" s="4"/>
      <c r="F156" s="10">
        <v>500</v>
      </c>
      <c r="G156" s="10">
        <v>620</v>
      </c>
      <c r="H156" s="3">
        <v>48019</v>
      </c>
      <c r="I156" s="4"/>
      <c r="J156" s="11"/>
      <c r="K156" s="11"/>
      <c r="L156" s="2" t="s">
        <v>46</v>
      </c>
      <c r="M156" s="12">
        <v>0.4</v>
      </c>
      <c r="N156" s="2" t="s">
        <v>47</v>
      </c>
      <c r="O156" s="13" t="s">
        <v>48</v>
      </c>
      <c r="P156" s="10"/>
      <c r="Q156" s="12"/>
      <c r="R156" s="5"/>
    </row>
    <row r="157" spans="1:18" x14ac:dyDescent="0.25">
      <c r="A157" s="6" t="s">
        <v>44</v>
      </c>
      <c r="B157" s="7">
        <v>46216</v>
      </c>
      <c r="C157" s="6" t="s">
        <v>17</v>
      </c>
      <c r="D157" s="6" t="s">
        <v>54</v>
      </c>
      <c r="E157" s="8"/>
      <c r="F157" s="14">
        <v>100</v>
      </c>
      <c r="G157" s="14">
        <v>55</v>
      </c>
      <c r="H157" s="7">
        <v>48019</v>
      </c>
      <c r="I157" s="8"/>
      <c r="J157" s="15"/>
      <c r="K157" s="15"/>
      <c r="L157" s="6" t="s">
        <v>46</v>
      </c>
      <c r="M157" s="16">
        <v>0.4</v>
      </c>
      <c r="N157" s="6" t="s">
        <v>47</v>
      </c>
      <c r="O157" s="13" t="s">
        <v>48</v>
      </c>
      <c r="P157" s="14"/>
      <c r="Q157" s="16"/>
      <c r="R157" s="9"/>
    </row>
    <row r="158" spans="1:18" x14ac:dyDescent="0.25">
      <c r="A158" s="2" t="s">
        <v>44</v>
      </c>
      <c r="B158" s="3">
        <v>46216</v>
      </c>
      <c r="C158" s="2" t="s">
        <v>20</v>
      </c>
      <c r="D158" s="2" t="s">
        <v>50</v>
      </c>
      <c r="E158" s="4"/>
      <c r="F158" s="10">
        <v>100</v>
      </c>
      <c r="G158" s="10">
        <v>60</v>
      </c>
      <c r="H158" s="3">
        <v>48019</v>
      </c>
      <c r="I158" s="4"/>
      <c r="J158" s="11"/>
      <c r="K158" s="11"/>
      <c r="L158" s="2" t="s">
        <v>46</v>
      </c>
      <c r="M158" s="12">
        <v>0.4</v>
      </c>
      <c r="N158" s="2" t="s">
        <v>47</v>
      </c>
      <c r="O158" s="13" t="s">
        <v>48</v>
      </c>
      <c r="P158" s="10"/>
      <c r="Q158" s="12"/>
      <c r="R158" s="5"/>
    </row>
    <row r="159" spans="1:18" x14ac:dyDescent="0.25">
      <c r="A159" s="6" t="s">
        <v>44</v>
      </c>
      <c r="B159" s="7">
        <v>46216</v>
      </c>
      <c r="C159" s="6" t="s">
        <v>23</v>
      </c>
      <c r="D159" s="6" t="s">
        <v>51</v>
      </c>
      <c r="E159" s="8"/>
      <c r="F159" s="14">
        <v>100</v>
      </c>
      <c r="G159" s="14">
        <v>60</v>
      </c>
      <c r="H159" s="7">
        <v>48019</v>
      </c>
      <c r="I159" s="8"/>
      <c r="J159" s="15"/>
      <c r="K159" s="15"/>
      <c r="L159" s="6" t="s">
        <v>46</v>
      </c>
      <c r="M159" s="16">
        <v>0.4</v>
      </c>
      <c r="N159" s="6" t="s">
        <v>47</v>
      </c>
      <c r="O159" s="13" t="s">
        <v>48</v>
      </c>
      <c r="P159" s="14"/>
      <c r="Q159" s="16"/>
      <c r="R159" s="9"/>
    </row>
    <row r="160" spans="1:18" x14ac:dyDescent="0.25">
      <c r="A160" s="2" t="s">
        <v>44</v>
      </c>
      <c r="B160" s="3">
        <v>46216</v>
      </c>
      <c r="C160" s="2" t="s">
        <v>26</v>
      </c>
      <c r="D160" s="2" t="s">
        <v>52</v>
      </c>
      <c r="E160" s="4"/>
      <c r="F160" s="10">
        <v>100</v>
      </c>
      <c r="G160" s="10">
        <v>48</v>
      </c>
      <c r="H160" s="3">
        <v>48019</v>
      </c>
      <c r="I160" s="4"/>
      <c r="J160" s="11"/>
      <c r="K160" s="11"/>
      <c r="L160" s="2" t="s">
        <v>46</v>
      </c>
      <c r="M160" s="12">
        <v>0.4</v>
      </c>
      <c r="N160" s="2" t="s">
        <v>47</v>
      </c>
      <c r="O160" s="13" t="s">
        <v>48</v>
      </c>
      <c r="P160" s="10"/>
      <c r="Q160" s="12"/>
      <c r="R160" s="5"/>
    </row>
    <row r="161" spans="1:18" x14ac:dyDescent="0.25">
      <c r="A161" s="6" t="s">
        <v>44</v>
      </c>
      <c r="B161" s="7">
        <v>46216</v>
      </c>
      <c r="C161" s="6" t="s">
        <v>29</v>
      </c>
      <c r="D161" s="6" t="s">
        <v>53</v>
      </c>
      <c r="E161" s="8"/>
      <c r="F161" s="14">
        <v>100</v>
      </c>
      <c r="G161" s="14">
        <v>79</v>
      </c>
      <c r="H161" s="7">
        <v>48019</v>
      </c>
      <c r="I161" s="8"/>
      <c r="J161" s="15"/>
      <c r="K161" s="15"/>
      <c r="L161" s="6" t="s">
        <v>46</v>
      </c>
      <c r="M161" s="16">
        <v>0.4</v>
      </c>
      <c r="N161" s="6" t="s">
        <v>47</v>
      </c>
      <c r="O161" s="13" t="s">
        <v>48</v>
      </c>
      <c r="P161" s="14"/>
      <c r="Q161" s="16"/>
      <c r="R161" s="9"/>
    </row>
    <row r="162" spans="1:18" x14ac:dyDescent="0.25">
      <c r="A162" s="2" t="s">
        <v>44</v>
      </c>
      <c r="B162" s="3">
        <v>46217</v>
      </c>
      <c r="C162" s="2" t="s">
        <v>9</v>
      </c>
      <c r="D162" s="2" t="s">
        <v>45</v>
      </c>
      <c r="E162" s="4"/>
      <c r="F162" s="10">
        <v>100</v>
      </c>
      <c r="G162" s="10">
        <v>187.14</v>
      </c>
      <c r="H162" s="3">
        <v>48019</v>
      </c>
      <c r="I162" s="4"/>
      <c r="J162" s="11"/>
      <c r="K162" s="11"/>
      <c r="L162" s="2" t="s">
        <v>46</v>
      </c>
      <c r="M162" s="12">
        <v>0.4</v>
      </c>
      <c r="N162" s="2" t="s">
        <v>47</v>
      </c>
      <c r="O162" s="13" t="s">
        <v>48</v>
      </c>
      <c r="P162" s="10"/>
      <c r="Q162" s="12"/>
      <c r="R162" s="5"/>
    </row>
    <row r="163" spans="1:18" x14ac:dyDescent="0.25">
      <c r="A163" s="6" t="s">
        <v>44</v>
      </c>
      <c r="B163" s="7">
        <v>46217</v>
      </c>
      <c r="C163" s="6" t="s">
        <v>14</v>
      </c>
      <c r="D163" s="6" t="s">
        <v>49</v>
      </c>
      <c r="E163" s="8"/>
      <c r="F163" s="14">
        <v>500</v>
      </c>
      <c r="G163" s="14">
        <v>635</v>
      </c>
      <c r="H163" s="7">
        <v>48019</v>
      </c>
      <c r="I163" s="8"/>
      <c r="J163" s="15"/>
      <c r="K163" s="15"/>
      <c r="L163" s="6" t="s">
        <v>46</v>
      </c>
      <c r="M163" s="16">
        <v>0.4</v>
      </c>
      <c r="N163" s="6" t="s">
        <v>47</v>
      </c>
      <c r="O163" s="13" t="s">
        <v>48</v>
      </c>
      <c r="P163" s="14"/>
      <c r="Q163" s="16"/>
      <c r="R163" s="9"/>
    </row>
    <row r="164" spans="1:18" x14ac:dyDescent="0.25">
      <c r="A164" s="2" t="s">
        <v>44</v>
      </c>
      <c r="B164" s="3">
        <v>46217</v>
      </c>
      <c r="C164" s="2" t="s">
        <v>17</v>
      </c>
      <c r="D164" s="2" t="s">
        <v>54</v>
      </c>
      <c r="E164" s="4"/>
      <c r="F164" s="10">
        <v>100</v>
      </c>
      <c r="G164" s="10">
        <v>57</v>
      </c>
      <c r="H164" s="3">
        <v>48019</v>
      </c>
      <c r="I164" s="4"/>
      <c r="J164" s="11"/>
      <c r="K164" s="11"/>
      <c r="L164" s="2" t="s">
        <v>46</v>
      </c>
      <c r="M164" s="12">
        <v>0.4</v>
      </c>
      <c r="N164" s="2" t="s">
        <v>47</v>
      </c>
      <c r="O164" s="13" t="s">
        <v>48</v>
      </c>
      <c r="P164" s="10"/>
      <c r="Q164" s="12"/>
      <c r="R164" s="5"/>
    </row>
    <row r="165" spans="1:18" x14ac:dyDescent="0.25">
      <c r="A165" s="6" t="s">
        <v>44</v>
      </c>
      <c r="B165" s="7">
        <v>46217</v>
      </c>
      <c r="C165" s="6" t="s">
        <v>20</v>
      </c>
      <c r="D165" s="6" t="s">
        <v>50</v>
      </c>
      <c r="E165" s="8"/>
      <c r="F165" s="14">
        <v>100</v>
      </c>
      <c r="G165" s="14">
        <v>59.25</v>
      </c>
      <c r="H165" s="7">
        <v>48019</v>
      </c>
      <c r="I165" s="8"/>
      <c r="J165" s="15"/>
      <c r="K165" s="15"/>
      <c r="L165" s="6" t="s">
        <v>46</v>
      </c>
      <c r="M165" s="16">
        <v>0.4</v>
      </c>
      <c r="N165" s="6" t="s">
        <v>47</v>
      </c>
      <c r="O165" s="13" t="s">
        <v>48</v>
      </c>
      <c r="P165" s="14"/>
      <c r="Q165" s="16"/>
      <c r="R165" s="9"/>
    </row>
    <row r="166" spans="1:18" x14ac:dyDescent="0.25">
      <c r="A166" s="2" t="s">
        <v>44</v>
      </c>
      <c r="B166" s="3">
        <v>46217</v>
      </c>
      <c r="C166" s="2" t="s">
        <v>23</v>
      </c>
      <c r="D166" s="2" t="s">
        <v>51</v>
      </c>
      <c r="E166" s="4"/>
      <c r="F166" s="10">
        <v>100</v>
      </c>
      <c r="G166" s="10">
        <v>59.25</v>
      </c>
      <c r="H166" s="3">
        <v>48019</v>
      </c>
      <c r="I166" s="4"/>
      <c r="J166" s="11"/>
      <c r="K166" s="11"/>
      <c r="L166" s="2" t="s">
        <v>46</v>
      </c>
      <c r="M166" s="12">
        <v>0.4</v>
      </c>
      <c r="N166" s="2" t="s">
        <v>47</v>
      </c>
      <c r="O166" s="13" t="s">
        <v>48</v>
      </c>
      <c r="P166" s="10"/>
      <c r="Q166" s="12"/>
      <c r="R166" s="5"/>
    </row>
    <row r="167" spans="1:18" x14ac:dyDescent="0.25">
      <c r="A167" s="6" t="s">
        <v>44</v>
      </c>
      <c r="B167" s="7">
        <v>46217</v>
      </c>
      <c r="C167" s="6" t="s">
        <v>26</v>
      </c>
      <c r="D167" s="6" t="s">
        <v>52</v>
      </c>
      <c r="E167" s="8"/>
      <c r="F167" s="14">
        <v>100</v>
      </c>
      <c r="G167" s="14">
        <v>47.75</v>
      </c>
      <c r="H167" s="7">
        <v>48019</v>
      </c>
      <c r="I167" s="8"/>
      <c r="J167" s="15"/>
      <c r="K167" s="15"/>
      <c r="L167" s="6" t="s">
        <v>46</v>
      </c>
      <c r="M167" s="16">
        <v>0.4</v>
      </c>
      <c r="N167" s="6" t="s">
        <v>47</v>
      </c>
      <c r="O167" s="13" t="s">
        <v>48</v>
      </c>
      <c r="P167" s="14"/>
      <c r="Q167" s="16"/>
      <c r="R167" s="9"/>
    </row>
    <row r="168" spans="1:18" x14ac:dyDescent="0.25">
      <c r="A168" s="2" t="s">
        <v>44</v>
      </c>
      <c r="B168" s="3">
        <v>46217</v>
      </c>
      <c r="C168" s="2" t="s">
        <v>29</v>
      </c>
      <c r="D168" s="2" t="s">
        <v>53</v>
      </c>
      <c r="E168" s="4"/>
      <c r="F168" s="10">
        <v>100</v>
      </c>
      <c r="G168" s="10">
        <v>78.25</v>
      </c>
      <c r="H168" s="3">
        <v>48019</v>
      </c>
      <c r="I168" s="4"/>
      <c r="J168" s="11"/>
      <c r="K168" s="11"/>
      <c r="L168" s="2" t="s">
        <v>46</v>
      </c>
      <c r="M168" s="12">
        <v>0.4</v>
      </c>
      <c r="N168" s="2" t="s">
        <v>47</v>
      </c>
      <c r="O168" s="13" t="s">
        <v>48</v>
      </c>
      <c r="P168" s="10"/>
      <c r="Q168" s="12"/>
      <c r="R168" s="5"/>
    </row>
    <row r="169" spans="1:18" x14ac:dyDescent="0.25">
      <c r="A169" s="6" t="s">
        <v>44</v>
      </c>
      <c r="B169" s="7">
        <v>46218</v>
      </c>
      <c r="C169" s="6" t="s">
        <v>9</v>
      </c>
      <c r="D169" s="6" t="s">
        <v>45</v>
      </c>
      <c r="E169" s="8"/>
      <c r="F169" s="14">
        <v>100</v>
      </c>
      <c r="G169" s="14">
        <v>187.29</v>
      </c>
      <c r="H169" s="7">
        <v>48019</v>
      </c>
      <c r="I169" s="8"/>
      <c r="J169" s="15"/>
      <c r="K169" s="15"/>
      <c r="L169" s="6" t="s">
        <v>46</v>
      </c>
      <c r="M169" s="16">
        <v>0.4</v>
      </c>
      <c r="N169" s="6" t="s">
        <v>47</v>
      </c>
      <c r="O169" s="13" t="s">
        <v>48</v>
      </c>
      <c r="P169" s="14"/>
      <c r="Q169" s="16"/>
      <c r="R169" s="9"/>
    </row>
    <row r="170" spans="1:18" x14ac:dyDescent="0.25">
      <c r="A170" s="2" t="s">
        <v>44</v>
      </c>
      <c r="B170" s="3">
        <v>46218</v>
      </c>
      <c r="C170" s="2" t="s">
        <v>14</v>
      </c>
      <c r="D170" s="2" t="s">
        <v>49</v>
      </c>
      <c r="E170" s="4"/>
      <c r="F170" s="10">
        <v>500</v>
      </c>
      <c r="G170" s="10">
        <v>650</v>
      </c>
      <c r="H170" s="3">
        <v>48019</v>
      </c>
      <c r="I170" s="4"/>
      <c r="J170" s="11"/>
      <c r="K170" s="11"/>
      <c r="L170" s="2" t="s">
        <v>46</v>
      </c>
      <c r="M170" s="12">
        <v>0.4</v>
      </c>
      <c r="N170" s="2" t="s">
        <v>47</v>
      </c>
      <c r="O170" s="13" t="s">
        <v>48</v>
      </c>
      <c r="P170" s="10"/>
      <c r="Q170" s="12"/>
      <c r="R170" s="5"/>
    </row>
    <row r="171" spans="1:18" x14ac:dyDescent="0.25">
      <c r="A171" s="6" t="s">
        <v>44</v>
      </c>
      <c r="B171" s="7">
        <v>46218</v>
      </c>
      <c r="C171" s="6" t="s">
        <v>17</v>
      </c>
      <c r="D171" s="6" t="s">
        <v>54</v>
      </c>
      <c r="E171" s="8"/>
      <c r="F171" s="14">
        <v>100</v>
      </c>
      <c r="G171" s="14">
        <v>57.33</v>
      </c>
      <c r="H171" s="7">
        <v>48019</v>
      </c>
      <c r="I171" s="8"/>
      <c r="J171" s="15"/>
      <c r="K171" s="15"/>
      <c r="L171" s="6" t="s">
        <v>46</v>
      </c>
      <c r="M171" s="16">
        <v>0.4</v>
      </c>
      <c r="N171" s="6" t="s">
        <v>47</v>
      </c>
      <c r="O171" s="13" t="s">
        <v>48</v>
      </c>
      <c r="P171" s="14"/>
      <c r="Q171" s="16"/>
      <c r="R171" s="9"/>
    </row>
    <row r="172" spans="1:18" x14ac:dyDescent="0.25">
      <c r="A172" s="2" t="s">
        <v>44</v>
      </c>
      <c r="B172" s="3">
        <v>46218</v>
      </c>
      <c r="C172" s="2" t="s">
        <v>20</v>
      </c>
      <c r="D172" s="2" t="s">
        <v>50</v>
      </c>
      <c r="E172" s="4"/>
      <c r="F172" s="10">
        <v>100</v>
      </c>
      <c r="G172" s="10">
        <v>58.5</v>
      </c>
      <c r="H172" s="3">
        <v>48019</v>
      </c>
      <c r="I172" s="4"/>
      <c r="J172" s="11"/>
      <c r="K172" s="11"/>
      <c r="L172" s="2" t="s">
        <v>46</v>
      </c>
      <c r="M172" s="12">
        <v>0.4</v>
      </c>
      <c r="N172" s="2" t="s">
        <v>47</v>
      </c>
      <c r="O172" s="13" t="s">
        <v>48</v>
      </c>
      <c r="P172" s="10"/>
      <c r="Q172" s="12"/>
      <c r="R172" s="5"/>
    </row>
    <row r="173" spans="1:18" x14ac:dyDescent="0.25">
      <c r="A173" s="6" t="s">
        <v>44</v>
      </c>
      <c r="B173" s="7">
        <v>46218</v>
      </c>
      <c r="C173" s="6" t="s">
        <v>23</v>
      </c>
      <c r="D173" s="6" t="s">
        <v>51</v>
      </c>
      <c r="E173" s="8"/>
      <c r="F173" s="14">
        <v>100</v>
      </c>
      <c r="G173" s="14">
        <v>58.5</v>
      </c>
      <c r="H173" s="7">
        <v>48019</v>
      </c>
      <c r="I173" s="8"/>
      <c r="J173" s="15"/>
      <c r="K173" s="15"/>
      <c r="L173" s="6" t="s">
        <v>46</v>
      </c>
      <c r="M173" s="16">
        <v>0.4</v>
      </c>
      <c r="N173" s="6" t="s">
        <v>47</v>
      </c>
      <c r="O173" s="13" t="s">
        <v>48</v>
      </c>
      <c r="P173" s="14"/>
      <c r="Q173" s="16"/>
      <c r="R173" s="9"/>
    </row>
    <row r="174" spans="1:18" x14ac:dyDescent="0.25">
      <c r="A174" s="2" t="s">
        <v>44</v>
      </c>
      <c r="B174" s="3">
        <v>46218</v>
      </c>
      <c r="C174" s="2" t="s">
        <v>26</v>
      </c>
      <c r="D174" s="2" t="s">
        <v>52</v>
      </c>
      <c r="E174" s="4"/>
      <c r="F174" s="10">
        <v>100</v>
      </c>
      <c r="G174" s="10">
        <v>47.5</v>
      </c>
      <c r="H174" s="3">
        <v>48019</v>
      </c>
      <c r="I174" s="4"/>
      <c r="J174" s="11"/>
      <c r="K174" s="11"/>
      <c r="L174" s="2" t="s">
        <v>46</v>
      </c>
      <c r="M174" s="12">
        <v>0.4</v>
      </c>
      <c r="N174" s="2" t="s">
        <v>47</v>
      </c>
      <c r="O174" s="13" t="s">
        <v>48</v>
      </c>
      <c r="P174" s="10"/>
      <c r="Q174" s="12"/>
      <c r="R174" s="5"/>
    </row>
    <row r="175" spans="1:18" x14ac:dyDescent="0.25">
      <c r="A175" s="6" t="s">
        <v>44</v>
      </c>
      <c r="B175" s="7">
        <v>46218</v>
      </c>
      <c r="C175" s="6" t="s">
        <v>29</v>
      </c>
      <c r="D175" s="6" t="s">
        <v>53</v>
      </c>
      <c r="E175" s="8"/>
      <c r="F175" s="14">
        <v>100</v>
      </c>
      <c r="G175" s="14">
        <v>77.5</v>
      </c>
      <c r="H175" s="7">
        <v>48019</v>
      </c>
      <c r="I175" s="8"/>
      <c r="J175" s="15"/>
      <c r="K175" s="15"/>
      <c r="L175" s="6" t="s">
        <v>46</v>
      </c>
      <c r="M175" s="16">
        <v>0.4</v>
      </c>
      <c r="N175" s="6" t="s">
        <v>47</v>
      </c>
      <c r="O175" s="13" t="s">
        <v>48</v>
      </c>
      <c r="P175" s="14"/>
      <c r="Q175" s="16"/>
      <c r="R175" s="9"/>
    </row>
    <row r="176" spans="1:18" x14ac:dyDescent="0.25">
      <c r="A176" s="2" t="s">
        <v>44</v>
      </c>
      <c r="B176" s="3">
        <v>46219</v>
      </c>
      <c r="C176" s="2" t="s">
        <v>9</v>
      </c>
      <c r="D176" s="2" t="s">
        <v>45</v>
      </c>
      <c r="E176" s="4"/>
      <c r="F176" s="10">
        <v>100</v>
      </c>
      <c r="G176" s="10">
        <v>187.43</v>
      </c>
      <c r="H176" s="3">
        <v>48019</v>
      </c>
      <c r="I176" s="4"/>
      <c r="J176" s="11"/>
      <c r="K176" s="11"/>
      <c r="L176" s="2" t="s">
        <v>46</v>
      </c>
      <c r="M176" s="12">
        <v>0.4</v>
      </c>
      <c r="N176" s="2" t="s">
        <v>47</v>
      </c>
      <c r="O176" s="13" t="s">
        <v>48</v>
      </c>
      <c r="P176" s="10"/>
      <c r="Q176" s="12"/>
      <c r="R176" s="5"/>
    </row>
    <row r="177" spans="1:18" x14ac:dyDescent="0.25">
      <c r="A177" s="6" t="s">
        <v>44</v>
      </c>
      <c r="B177" s="7">
        <v>46219</v>
      </c>
      <c r="C177" s="6" t="s">
        <v>14</v>
      </c>
      <c r="D177" s="6" t="s">
        <v>49</v>
      </c>
      <c r="E177" s="8"/>
      <c r="F177" s="14">
        <v>500</v>
      </c>
      <c r="G177" s="14">
        <v>665</v>
      </c>
      <c r="H177" s="7">
        <v>48019</v>
      </c>
      <c r="I177" s="8"/>
      <c r="J177" s="15"/>
      <c r="K177" s="15"/>
      <c r="L177" s="6" t="s">
        <v>46</v>
      </c>
      <c r="M177" s="16">
        <v>0.4</v>
      </c>
      <c r="N177" s="6" t="s">
        <v>47</v>
      </c>
      <c r="O177" s="13" t="s">
        <v>48</v>
      </c>
      <c r="P177" s="14"/>
      <c r="Q177" s="16"/>
      <c r="R177" s="9"/>
    </row>
    <row r="178" spans="1:18" x14ac:dyDescent="0.25">
      <c r="A178" s="2" t="s">
        <v>44</v>
      </c>
      <c r="B178" s="3">
        <v>46219</v>
      </c>
      <c r="C178" s="2" t="s">
        <v>17</v>
      </c>
      <c r="D178" s="2" t="s">
        <v>54</v>
      </c>
      <c r="E178" s="4"/>
      <c r="F178" s="10">
        <v>100</v>
      </c>
      <c r="G178" s="10">
        <v>57.67</v>
      </c>
      <c r="H178" s="3">
        <v>48019</v>
      </c>
      <c r="I178" s="4"/>
      <c r="J178" s="11"/>
      <c r="K178" s="11"/>
      <c r="L178" s="2" t="s">
        <v>46</v>
      </c>
      <c r="M178" s="12">
        <v>0.4</v>
      </c>
      <c r="N178" s="2" t="s">
        <v>47</v>
      </c>
      <c r="O178" s="13" t="s">
        <v>48</v>
      </c>
      <c r="P178" s="10"/>
      <c r="Q178" s="12"/>
      <c r="R178" s="5"/>
    </row>
    <row r="179" spans="1:18" x14ac:dyDescent="0.25">
      <c r="A179" s="6" t="s">
        <v>44</v>
      </c>
      <c r="B179" s="7">
        <v>46219</v>
      </c>
      <c r="C179" s="6" t="s">
        <v>20</v>
      </c>
      <c r="D179" s="6" t="s">
        <v>50</v>
      </c>
      <c r="E179" s="8"/>
      <c r="F179" s="14">
        <v>100</v>
      </c>
      <c r="G179" s="14">
        <v>57.75</v>
      </c>
      <c r="H179" s="7">
        <v>48019</v>
      </c>
      <c r="I179" s="8"/>
      <c r="J179" s="15"/>
      <c r="K179" s="15"/>
      <c r="L179" s="6" t="s">
        <v>46</v>
      </c>
      <c r="M179" s="16">
        <v>0.4</v>
      </c>
      <c r="N179" s="6" t="s">
        <v>47</v>
      </c>
      <c r="O179" s="13" t="s">
        <v>48</v>
      </c>
      <c r="P179" s="14"/>
      <c r="Q179" s="16"/>
      <c r="R179" s="9"/>
    </row>
    <row r="180" spans="1:18" x14ac:dyDescent="0.25">
      <c r="A180" s="2" t="s">
        <v>44</v>
      </c>
      <c r="B180" s="3">
        <v>46219</v>
      </c>
      <c r="C180" s="2" t="s">
        <v>23</v>
      </c>
      <c r="D180" s="2" t="s">
        <v>51</v>
      </c>
      <c r="E180" s="4"/>
      <c r="F180" s="10">
        <v>100</v>
      </c>
      <c r="G180" s="10">
        <v>57.75</v>
      </c>
      <c r="H180" s="3">
        <v>48019</v>
      </c>
      <c r="I180" s="4"/>
      <c r="J180" s="11"/>
      <c r="K180" s="11"/>
      <c r="L180" s="2" t="s">
        <v>46</v>
      </c>
      <c r="M180" s="12">
        <v>0.4</v>
      </c>
      <c r="N180" s="2" t="s">
        <v>47</v>
      </c>
      <c r="O180" s="13" t="s">
        <v>48</v>
      </c>
      <c r="P180" s="10"/>
      <c r="Q180" s="12"/>
      <c r="R180" s="5"/>
    </row>
    <row r="181" spans="1:18" x14ac:dyDescent="0.25">
      <c r="A181" s="6" t="s">
        <v>44</v>
      </c>
      <c r="B181" s="7">
        <v>46219</v>
      </c>
      <c r="C181" s="6" t="s">
        <v>26</v>
      </c>
      <c r="D181" s="6" t="s">
        <v>52</v>
      </c>
      <c r="E181" s="8"/>
      <c r="F181" s="14">
        <v>100</v>
      </c>
      <c r="G181" s="14">
        <v>47.25</v>
      </c>
      <c r="H181" s="7">
        <v>48019</v>
      </c>
      <c r="I181" s="8"/>
      <c r="J181" s="15"/>
      <c r="K181" s="15"/>
      <c r="L181" s="6" t="s">
        <v>46</v>
      </c>
      <c r="M181" s="16">
        <v>0.4</v>
      </c>
      <c r="N181" s="6" t="s">
        <v>47</v>
      </c>
      <c r="O181" s="13" t="s">
        <v>48</v>
      </c>
      <c r="P181" s="14"/>
      <c r="Q181" s="16"/>
      <c r="R181" s="9"/>
    </row>
    <row r="182" spans="1:18" x14ac:dyDescent="0.25">
      <c r="A182" s="2" t="s">
        <v>44</v>
      </c>
      <c r="B182" s="3">
        <v>46219</v>
      </c>
      <c r="C182" s="2" t="s">
        <v>29</v>
      </c>
      <c r="D182" s="2" t="s">
        <v>53</v>
      </c>
      <c r="E182" s="4"/>
      <c r="F182" s="10">
        <v>100</v>
      </c>
      <c r="G182" s="10">
        <v>76.75</v>
      </c>
      <c r="H182" s="3">
        <v>48019</v>
      </c>
      <c r="I182" s="4"/>
      <c r="J182" s="11"/>
      <c r="K182" s="11"/>
      <c r="L182" s="2" t="s">
        <v>46</v>
      </c>
      <c r="M182" s="12">
        <v>0.4</v>
      </c>
      <c r="N182" s="2" t="s">
        <v>47</v>
      </c>
      <c r="O182" s="13" t="s">
        <v>48</v>
      </c>
      <c r="P182" s="10"/>
      <c r="Q182" s="12"/>
      <c r="R182" s="5"/>
    </row>
    <row r="183" spans="1:18" x14ac:dyDescent="0.25">
      <c r="A183" s="6" t="s">
        <v>44</v>
      </c>
      <c r="B183" s="7">
        <v>46220</v>
      </c>
      <c r="C183" s="6" t="s">
        <v>9</v>
      </c>
      <c r="D183" s="6" t="s">
        <v>45</v>
      </c>
      <c r="E183" s="8"/>
      <c r="F183" s="14">
        <v>100</v>
      </c>
      <c r="G183" s="14">
        <v>187.57</v>
      </c>
      <c r="H183" s="7">
        <v>48019</v>
      </c>
      <c r="I183" s="8"/>
      <c r="J183" s="15"/>
      <c r="K183" s="15"/>
      <c r="L183" s="6" t="s">
        <v>46</v>
      </c>
      <c r="M183" s="16">
        <v>0.4</v>
      </c>
      <c r="N183" s="6" t="s">
        <v>47</v>
      </c>
      <c r="O183" s="13" t="s">
        <v>48</v>
      </c>
      <c r="P183" s="14"/>
      <c r="Q183" s="16"/>
      <c r="R183" s="9"/>
    </row>
    <row r="184" spans="1:18" x14ac:dyDescent="0.25">
      <c r="A184" s="2" t="s">
        <v>44</v>
      </c>
      <c r="B184" s="3">
        <v>46220</v>
      </c>
      <c r="C184" s="2" t="s">
        <v>14</v>
      </c>
      <c r="D184" s="2" t="s">
        <v>49</v>
      </c>
      <c r="E184" s="4"/>
      <c r="F184" s="10">
        <v>500</v>
      </c>
      <c r="G184" s="10">
        <v>680</v>
      </c>
      <c r="H184" s="3">
        <v>48019</v>
      </c>
      <c r="I184" s="4"/>
      <c r="J184" s="11"/>
      <c r="K184" s="11"/>
      <c r="L184" s="2" t="s">
        <v>46</v>
      </c>
      <c r="M184" s="12">
        <v>0.4</v>
      </c>
      <c r="N184" s="2" t="s">
        <v>47</v>
      </c>
      <c r="O184" s="13" t="s">
        <v>48</v>
      </c>
      <c r="P184" s="10"/>
      <c r="Q184" s="12"/>
      <c r="R184" s="5"/>
    </row>
    <row r="185" spans="1:18" x14ac:dyDescent="0.25">
      <c r="A185" s="6" t="s">
        <v>44</v>
      </c>
      <c r="B185" s="7">
        <v>46220</v>
      </c>
      <c r="C185" s="6" t="s">
        <v>17</v>
      </c>
      <c r="D185" s="6" t="s">
        <v>54</v>
      </c>
      <c r="E185" s="8"/>
      <c r="F185" s="14">
        <v>100</v>
      </c>
      <c r="G185" s="14">
        <v>58</v>
      </c>
      <c r="H185" s="7">
        <v>48019</v>
      </c>
      <c r="I185" s="8"/>
      <c r="J185" s="15"/>
      <c r="K185" s="15"/>
      <c r="L185" s="6" t="s">
        <v>46</v>
      </c>
      <c r="M185" s="16">
        <v>0.4</v>
      </c>
      <c r="N185" s="6" t="s">
        <v>47</v>
      </c>
      <c r="O185" s="13" t="s">
        <v>48</v>
      </c>
      <c r="P185" s="14"/>
      <c r="Q185" s="16"/>
      <c r="R185" s="9"/>
    </row>
    <row r="186" spans="1:18" x14ac:dyDescent="0.25">
      <c r="A186" s="2" t="s">
        <v>44</v>
      </c>
      <c r="B186" s="3">
        <v>46220</v>
      </c>
      <c r="C186" s="2" t="s">
        <v>20</v>
      </c>
      <c r="D186" s="2" t="s">
        <v>50</v>
      </c>
      <c r="E186" s="4"/>
      <c r="F186" s="10">
        <v>100</v>
      </c>
      <c r="G186" s="10">
        <v>57</v>
      </c>
      <c r="H186" s="3">
        <v>48019</v>
      </c>
      <c r="I186" s="4"/>
      <c r="J186" s="11"/>
      <c r="K186" s="11"/>
      <c r="L186" s="2" t="s">
        <v>46</v>
      </c>
      <c r="M186" s="12">
        <v>0.4</v>
      </c>
      <c r="N186" s="2" t="s">
        <v>47</v>
      </c>
      <c r="O186" s="13" t="s">
        <v>48</v>
      </c>
      <c r="P186" s="10"/>
      <c r="Q186" s="12"/>
      <c r="R186" s="5"/>
    </row>
    <row r="187" spans="1:18" x14ac:dyDescent="0.25">
      <c r="A187" s="6" t="s">
        <v>44</v>
      </c>
      <c r="B187" s="7">
        <v>46220</v>
      </c>
      <c r="C187" s="6" t="s">
        <v>23</v>
      </c>
      <c r="D187" s="6" t="s">
        <v>51</v>
      </c>
      <c r="E187" s="8"/>
      <c r="F187" s="14">
        <v>100</v>
      </c>
      <c r="G187" s="14">
        <v>57</v>
      </c>
      <c r="H187" s="7">
        <v>48019</v>
      </c>
      <c r="I187" s="8"/>
      <c r="J187" s="15"/>
      <c r="K187" s="15"/>
      <c r="L187" s="6" t="s">
        <v>46</v>
      </c>
      <c r="M187" s="16">
        <v>0.4</v>
      </c>
      <c r="N187" s="6" t="s">
        <v>47</v>
      </c>
      <c r="O187" s="13" t="s">
        <v>48</v>
      </c>
      <c r="P187" s="14"/>
      <c r="Q187" s="16"/>
      <c r="R187" s="9"/>
    </row>
    <row r="188" spans="1:18" x14ac:dyDescent="0.25">
      <c r="A188" s="2" t="s">
        <v>44</v>
      </c>
      <c r="B188" s="3">
        <v>46220</v>
      </c>
      <c r="C188" s="2" t="s">
        <v>26</v>
      </c>
      <c r="D188" s="2" t="s">
        <v>52</v>
      </c>
      <c r="E188" s="4"/>
      <c r="F188" s="10">
        <v>100</v>
      </c>
      <c r="G188" s="10">
        <v>47</v>
      </c>
      <c r="H188" s="3">
        <v>48019</v>
      </c>
      <c r="I188" s="4"/>
      <c r="J188" s="11"/>
      <c r="K188" s="11"/>
      <c r="L188" s="2" t="s">
        <v>46</v>
      </c>
      <c r="M188" s="12">
        <v>0.4</v>
      </c>
      <c r="N188" s="2" t="s">
        <v>47</v>
      </c>
      <c r="O188" s="13" t="s">
        <v>48</v>
      </c>
      <c r="P188" s="10"/>
      <c r="Q188" s="12"/>
      <c r="R188" s="5"/>
    </row>
    <row r="189" spans="1:18" x14ac:dyDescent="0.25">
      <c r="A189" s="6" t="s">
        <v>44</v>
      </c>
      <c r="B189" s="7">
        <v>46220</v>
      </c>
      <c r="C189" s="6" t="s">
        <v>29</v>
      </c>
      <c r="D189" s="6" t="s">
        <v>53</v>
      </c>
      <c r="E189" s="8"/>
      <c r="F189" s="14">
        <v>100</v>
      </c>
      <c r="G189" s="14">
        <v>76</v>
      </c>
      <c r="H189" s="7">
        <v>48019</v>
      </c>
      <c r="I189" s="8"/>
      <c r="J189" s="15"/>
      <c r="K189" s="15"/>
      <c r="L189" s="6" t="s">
        <v>46</v>
      </c>
      <c r="M189" s="16">
        <v>0.4</v>
      </c>
      <c r="N189" s="6" t="s">
        <v>47</v>
      </c>
      <c r="O189" s="13" t="s">
        <v>48</v>
      </c>
      <c r="P189" s="14"/>
      <c r="Q189" s="16"/>
      <c r="R189" s="9"/>
    </row>
    <row r="190" spans="1:18" x14ac:dyDescent="0.25">
      <c r="A190" s="2" t="s">
        <v>44</v>
      </c>
      <c r="B190" s="3">
        <v>46223</v>
      </c>
      <c r="C190" s="2" t="s">
        <v>9</v>
      </c>
      <c r="D190" s="2" t="s">
        <v>45</v>
      </c>
      <c r="E190" s="4"/>
      <c r="F190" s="10">
        <v>100</v>
      </c>
      <c r="G190" s="10">
        <v>188</v>
      </c>
      <c r="H190" s="3">
        <v>48019</v>
      </c>
      <c r="I190" s="4"/>
      <c r="J190" s="11"/>
      <c r="K190" s="11"/>
      <c r="L190" s="2" t="s">
        <v>46</v>
      </c>
      <c r="M190" s="12">
        <v>0.4</v>
      </c>
      <c r="N190" s="2" t="s">
        <v>47</v>
      </c>
      <c r="O190" s="13" t="s">
        <v>48</v>
      </c>
      <c r="P190" s="10"/>
      <c r="Q190" s="12"/>
      <c r="R190" s="5"/>
    </row>
    <row r="191" spans="1:18" x14ac:dyDescent="0.25">
      <c r="A191" s="6" t="s">
        <v>44</v>
      </c>
      <c r="B191" s="7">
        <v>46223</v>
      </c>
      <c r="C191" s="6" t="s">
        <v>14</v>
      </c>
      <c r="D191" s="6" t="s">
        <v>49</v>
      </c>
      <c r="E191" s="8"/>
      <c r="F191" s="14">
        <v>500</v>
      </c>
      <c r="G191" s="14">
        <v>687.5</v>
      </c>
      <c r="H191" s="7">
        <v>48019</v>
      </c>
      <c r="I191" s="8"/>
      <c r="J191" s="15"/>
      <c r="K191" s="15"/>
      <c r="L191" s="6" t="s">
        <v>46</v>
      </c>
      <c r="M191" s="16">
        <v>0.4</v>
      </c>
      <c r="N191" s="6" t="s">
        <v>47</v>
      </c>
      <c r="O191" s="13" t="s">
        <v>48</v>
      </c>
      <c r="P191" s="14"/>
      <c r="Q191" s="16"/>
      <c r="R191" s="9"/>
    </row>
    <row r="192" spans="1:18" x14ac:dyDescent="0.25">
      <c r="A192" s="2" t="s">
        <v>44</v>
      </c>
      <c r="B192" s="3">
        <v>46223</v>
      </c>
      <c r="C192" s="2" t="s">
        <v>17</v>
      </c>
      <c r="D192" s="2" t="s">
        <v>54</v>
      </c>
      <c r="E192" s="4"/>
      <c r="F192" s="10">
        <v>100</v>
      </c>
      <c r="G192" s="10">
        <v>59</v>
      </c>
      <c r="H192" s="3">
        <v>48019</v>
      </c>
      <c r="I192" s="4"/>
      <c r="J192" s="11"/>
      <c r="K192" s="11"/>
      <c r="L192" s="2" t="s">
        <v>46</v>
      </c>
      <c r="M192" s="12">
        <v>0.4</v>
      </c>
      <c r="N192" s="2" t="s">
        <v>47</v>
      </c>
      <c r="O192" s="13" t="s">
        <v>48</v>
      </c>
      <c r="P192" s="10"/>
      <c r="Q192" s="12"/>
      <c r="R192" s="5"/>
    </row>
    <row r="193" spans="1:18" x14ac:dyDescent="0.25">
      <c r="A193" s="6" t="s">
        <v>44</v>
      </c>
      <c r="B193" s="7">
        <v>46223</v>
      </c>
      <c r="C193" s="6" t="s">
        <v>20</v>
      </c>
      <c r="D193" s="6" t="s">
        <v>50</v>
      </c>
      <c r="E193" s="8"/>
      <c r="F193" s="14">
        <v>100</v>
      </c>
      <c r="G193" s="14">
        <v>58.2</v>
      </c>
      <c r="H193" s="7">
        <v>48019</v>
      </c>
      <c r="I193" s="8"/>
      <c r="J193" s="15"/>
      <c r="K193" s="15"/>
      <c r="L193" s="6" t="s">
        <v>46</v>
      </c>
      <c r="M193" s="16">
        <v>0.4</v>
      </c>
      <c r="N193" s="6" t="s">
        <v>47</v>
      </c>
      <c r="O193" s="13" t="s">
        <v>48</v>
      </c>
      <c r="P193" s="14"/>
      <c r="Q193" s="16"/>
      <c r="R193" s="9"/>
    </row>
    <row r="194" spans="1:18" x14ac:dyDescent="0.25">
      <c r="A194" s="2" t="s">
        <v>44</v>
      </c>
      <c r="B194" s="3">
        <v>46223</v>
      </c>
      <c r="C194" s="2" t="s">
        <v>23</v>
      </c>
      <c r="D194" s="2" t="s">
        <v>51</v>
      </c>
      <c r="E194" s="4"/>
      <c r="F194" s="10">
        <v>100</v>
      </c>
      <c r="G194" s="10">
        <v>58.5</v>
      </c>
      <c r="H194" s="3">
        <v>48019</v>
      </c>
      <c r="I194" s="4"/>
      <c r="J194" s="11"/>
      <c r="K194" s="11"/>
      <c r="L194" s="2" t="s">
        <v>46</v>
      </c>
      <c r="M194" s="12">
        <v>0.4</v>
      </c>
      <c r="N194" s="2" t="s">
        <v>47</v>
      </c>
      <c r="O194" s="13" t="s">
        <v>48</v>
      </c>
      <c r="P194" s="10"/>
      <c r="Q194" s="12"/>
      <c r="R194" s="5"/>
    </row>
    <row r="195" spans="1:18" x14ac:dyDescent="0.25">
      <c r="A195" s="6" t="s">
        <v>44</v>
      </c>
      <c r="B195" s="7">
        <v>46223</v>
      </c>
      <c r="C195" s="6" t="s">
        <v>26</v>
      </c>
      <c r="D195" s="6" t="s">
        <v>52</v>
      </c>
      <c r="E195" s="8"/>
      <c r="F195" s="14">
        <v>100</v>
      </c>
      <c r="G195" s="14">
        <v>47.6</v>
      </c>
      <c r="H195" s="7">
        <v>48019</v>
      </c>
      <c r="I195" s="8"/>
      <c r="J195" s="15"/>
      <c r="K195" s="15"/>
      <c r="L195" s="6" t="s">
        <v>46</v>
      </c>
      <c r="M195" s="16">
        <v>0.4</v>
      </c>
      <c r="N195" s="6" t="s">
        <v>47</v>
      </c>
      <c r="O195" s="13" t="s">
        <v>48</v>
      </c>
      <c r="P195" s="14"/>
      <c r="Q195" s="16"/>
      <c r="R195" s="9"/>
    </row>
    <row r="196" spans="1:18" x14ac:dyDescent="0.25">
      <c r="A196" s="2" t="s">
        <v>44</v>
      </c>
      <c r="B196" s="3">
        <v>46223</v>
      </c>
      <c r="C196" s="2" t="s">
        <v>29</v>
      </c>
      <c r="D196" s="2" t="s">
        <v>53</v>
      </c>
      <c r="E196" s="4"/>
      <c r="F196" s="10">
        <v>100</v>
      </c>
      <c r="G196" s="10">
        <v>77.8</v>
      </c>
      <c r="H196" s="3">
        <v>48019</v>
      </c>
      <c r="I196" s="4"/>
      <c r="J196" s="11"/>
      <c r="K196" s="11"/>
      <c r="L196" s="2" t="s">
        <v>46</v>
      </c>
      <c r="M196" s="12">
        <v>0.4</v>
      </c>
      <c r="N196" s="2" t="s">
        <v>47</v>
      </c>
      <c r="O196" s="13" t="s">
        <v>48</v>
      </c>
      <c r="P196" s="10"/>
      <c r="Q196" s="12"/>
      <c r="R196" s="5"/>
    </row>
    <row r="197" spans="1:18" x14ac:dyDescent="0.25">
      <c r="A197" s="6" t="s">
        <v>44</v>
      </c>
      <c r="B197" s="7">
        <v>46224</v>
      </c>
      <c r="C197" s="6" t="s">
        <v>9</v>
      </c>
      <c r="D197" s="6" t="s">
        <v>45</v>
      </c>
      <c r="E197" s="8"/>
      <c r="F197" s="14">
        <v>100</v>
      </c>
      <c r="G197" s="14">
        <v>192.25</v>
      </c>
      <c r="H197" s="7">
        <v>48019</v>
      </c>
      <c r="I197" s="8"/>
      <c r="J197" s="15"/>
      <c r="K197" s="15"/>
      <c r="L197" s="6" t="s">
        <v>46</v>
      </c>
      <c r="M197" s="16">
        <v>0.4</v>
      </c>
      <c r="N197" s="6" t="s">
        <v>47</v>
      </c>
      <c r="O197" s="13" t="s">
        <v>48</v>
      </c>
      <c r="P197" s="14"/>
      <c r="Q197" s="16"/>
      <c r="R197" s="9"/>
    </row>
    <row r="198" spans="1:18" x14ac:dyDescent="0.25">
      <c r="A198" s="2" t="s">
        <v>44</v>
      </c>
      <c r="B198" s="3">
        <v>46224</v>
      </c>
      <c r="C198" s="2" t="s">
        <v>14</v>
      </c>
      <c r="D198" s="2" t="s">
        <v>49</v>
      </c>
      <c r="E198" s="4"/>
      <c r="F198" s="10">
        <v>500</v>
      </c>
      <c r="G198" s="10">
        <v>690</v>
      </c>
      <c r="H198" s="3">
        <v>48019</v>
      </c>
      <c r="I198" s="4"/>
      <c r="J198" s="11"/>
      <c r="K198" s="11"/>
      <c r="L198" s="2" t="s">
        <v>46</v>
      </c>
      <c r="M198" s="12">
        <v>0.4</v>
      </c>
      <c r="N198" s="2" t="s">
        <v>47</v>
      </c>
      <c r="O198" s="13" t="s">
        <v>48</v>
      </c>
      <c r="P198" s="10"/>
      <c r="Q198" s="12"/>
      <c r="R198" s="5"/>
    </row>
    <row r="199" spans="1:18" x14ac:dyDescent="0.25">
      <c r="A199" s="6" t="s">
        <v>44</v>
      </c>
      <c r="B199" s="7">
        <v>46224</v>
      </c>
      <c r="C199" s="6" t="s">
        <v>17</v>
      </c>
      <c r="D199" s="6" t="s">
        <v>54</v>
      </c>
      <c r="E199" s="8"/>
      <c r="F199" s="14">
        <v>100</v>
      </c>
      <c r="G199" s="14">
        <v>61.75</v>
      </c>
      <c r="H199" s="7">
        <v>48019</v>
      </c>
      <c r="I199" s="8"/>
      <c r="J199" s="15"/>
      <c r="K199" s="15"/>
      <c r="L199" s="6" t="s">
        <v>46</v>
      </c>
      <c r="M199" s="16">
        <v>0.4</v>
      </c>
      <c r="N199" s="6" t="s">
        <v>47</v>
      </c>
      <c r="O199" s="13" t="s">
        <v>48</v>
      </c>
      <c r="P199" s="14"/>
      <c r="Q199" s="16"/>
      <c r="R199" s="9"/>
    </row>
    <row r="200" spans="1:18" x14ac:dyDescent="0.25">
      <c r="A200" s="2" t="s">
        <v>44</v>
      </c>
      <c r="B200" s="3">
        <v>46224</v>
      </c>
      <c r="C200" s="2" t="s">
        <v>20</v>
      </c>
      <c r="D200" s="2" t="s">
        <v>50</v>
      </c>
      <c r="E200" s="4"/>
      <c r="F200" s="10">
        <v>100</v>
      </c>
      <c r="G200" s="10">
        <v>58.6</v>
      </c>
      <c r="H200" s="3">
        <v>48019</v>
      </c>
      <c r="I200" s="4"/>
      <c r="J200" s="11"/>
      <c r="K200" s="11"/>
      <c r="L200" s="2" t="s">
        <v>46</v>
      </c>
      <c r="M200" s="12">
        <v>0.4</v>
      </c>
      <c r="N200" s="2" t="s">
        <v>47</v>
      </c>
      <c r="O200" s="13" t="s">
        <v>48</v>
      </c>
      <c r="P200" s="10"/>
      <c r="Q200" s="12"/>
      <c r="R200" s="5"/>
    </row>
    <row r="201" spans="1:18" x14ac:dyDescent="0.25">
      <c r="A201" s="6" t="s">
        <v>44</v>
      </c>
      <c r="B201" s="7">
        <v>46224</v>
      </c>
      <c r="C201" s="6" t="s">
        <v>23</v>
      </c>
      <c r="D201" s="6" t="s">
        <v>51</v>
      </c>
      <c r="E201" s="8"/>
      <c r="F201" s="14">
        <v>100</v>
      </c>
      <c r="G201" s="14">
        <v>59</v>
      </c>
      <c r="H201" s="7">
        <v>48019</v>
      </c>
      <c r="I201" s="8"/>
      <c r="J201" s="15"/>
      <c r="K201" s="15"/>
      <c r="L201" s="6" t="s">
        <v>46</v>
      </c>
      <c r="M201" s="16">
        <v>0.4</v>
      </c>
      <c r="N201" s="6" t="s">
        <v>47</v>
      </c>
      <c r="O201" s="13" t="s">
        <v>48</v>
      </c>
      <c r="P201" s="14"/>
      <c r="Q201" s="16"/>
      <c r="R201" s="9"/>
    </row>
    <row r="202" spans="1:18" x14ac:dyDescent="0.25">
      <c r="A202" s="2" t="s">
        <v>44</v>
      </c>
      <c r="B202" s="3">
        <v>46224</v>
      </c>
      <c r="C202" s="2" t="s">
        <v>26</v>
      </c>
      <c r="D202" s="2" t="s">
        <v>52</v>
      </c>
      <c r="E202" s="4"/>
      <c r="F202" s="10">
        <v>100</v>
      </c>
      <c r="G202" s="10">
        <v>47.8</v>
      </c>
      <c r="H202" s="3">
        <v>48019</v>
      </c>
      <c r="I202" s="4"/>
      <c r="J202" s="11"/>
      <c r="K202" s="11"/>
      <c r="L202" s="2" t="s">
        <v>46</v>
      </c>
      <c r="M202" s="12">
        <v>0.4</v>
      </c>
      <c r="N202" s="2" t="s">
        <v>47</v>
      </c>
      <c r="O202" s="13" t="s">
        <v>48</v>
      </c>
      <c r="P202" s="10"/>
      <c r="Q202" s="12"/>
      <c r="R202" s="5"/>
    </row>
    <row r="203" spans="1:18" x14ac:dyDescent="0.25">
      <c r="A203" s="6" t="s">
        <v>44</v>
      </c>
      <c r="B203" s="7">
        <v>46224</v>
      </c>
      <c r="C203" s="6" t="s">
        <v>29</v>
      </c>
      <c r="D203" s="6" t="s">
        <v>53</v>
      </c>
      <c r="E203" s="8"/>
      <c r="F203" s="14">
        <v>100</v>
      </c>
      <c r="G203" s="14">
        <v>78.4</v>
      </c>
      <c r="H203" s="7">
        <v>48019</v>
      </c>
      <c r="I203" s="8"/>
      <c r="J203" s="15"/>
      <c r="K203" s="15"/>
      <c r="L203" s="6" t="s">
        <v>46</v>
      </c>
      <c r="M203" s="16">
        <v>0.4</v>
      </c>
      <c r="N203" s="6" t="s">
        <v>47</v>
      </c>
      <c r="O203" s="13" t="s">
        <v>48</v>
      </c>
      <c r="P203" s="14"/>
      <c r="Q203" s="16"/>
      <c r="R203" s="9"/>
    </row>
    <row r="204" spans="1:18" x14ac:dyDescent="0.25">
      <c r="A204" s="2" t="s">
        <v>44</v>
      </c>
      <c r="B204" s="3">
        <v>46225</v>
      </c>
      <c r="C204" s="2" t="s">
        <v>9</v>
      </c>
      <c r="D204" s="2" t="s">
        <v>45</v>
      </c>
      <c r="E204" s="4"/>
      <c r="F204" s="10">
        <v>100</v>
      </c>
      <c r="G204" s="10">
        <v>196.5</v>
      </c>
      <c r="H204" s="3">
        <v>48019</v>
      </c>
      <c r="I204" s="4"/>
      <c r="J204" s="11"/>
      <c r="K204" s="11"/>
      <c r="L204" s="2" t="s">
        <v>46</v>
      </c>
      <c r="M204" s="12">
        <v>0.4</v>
      </c>
      <c r="N204" s="2" t="s">
        <v>47</v>
      </c>
      <c r="O204" s="13" t="s">
        <v>48</v>
      </c>
      <c r="P204" s="10"/>
      <c r="Q204" s="12"/>
      <c r="R204" s="5"/>
    </row>
    <row r="205" spans="1:18" x14ac:dyDescent="0.25">
      <c r="A205" s="6" t="s">
        <v>44</v>
      </c>
      <c r="B205" s="7">
        <v>46225</v>
      </c>
      <c r="C205" s="6" t="s">
        <v>14</v>
      </c>
      <c r="D205" s="6" t="s">
        <v>49</v>
      </c>
      <c r="E205" s="8"/>
      <c r="F205" s="14">
        <v>500</v>
      </c>
      <c r="G205" s="14">
        <v>700</v>
      </c>
      <c r="H205" s="7">
        <v>48019</v>
      </c>
      <c r="I205" s="8"/>
      <c r="J205" s="15"/>
      <c r="K205" s="15"/>
      <c r="L205" s="6" t="s">
        <v>46</v>
      </c>
      <c r="M205" s="16">
        <v>0.4</v>
      </c>
      <c r="N205" s="6" t="s">
        <v>47</v>
      </c>
      <c r="O205" s="13" t="s">
        <v>48</v>
      </c>
      <c r="P205" s="14"/>
      <c r="Q205" s="16"/>
      <c r="R205" s="9"/>
    </row>
    <row r="206" spans="1:18" x14ac:dyDescent="0.25">
      <c r="A206" s="2" t="s">
        <v>44</v>
      </c>
      <c r="B206" s="3">
        <v>46225</v>
      </c>
      <c r="C206" s="2" t="s">
        <v>17</v>
      </c>
      <c r="D206" s="2" t="s">
        <v>54</v>
      </c>
      <c r="E206" s="4"/>
      <c r="F206" s="10">
        <v>100</v>
      </c>
      <c r="G206" s="10">
        <v>64.5</v>
      </c>
      <c r="H206" s="3">
        <v>48019</v>
      </c>
      <c r="I206" s="4"/>
      <c r="J206" s="11"/>
      <c r="K206" s="11"/>
      <c r="L206" s="2" t="s">
        <v>46</v>
      </c>
      <c r="M206" s="12">
        <v>0.4</v>
      </c>
      <c r="N206" s="2" t="s">
        <v>47</v>
      </c>
      <c r="O206" s="13" t="s">
        <v>48</v>
      </c>
      <c r="P206" s="10"/>
      <c r="Q206" s="12"/>
      <c r="R206" s="5"/>
    </row>
    <row r="207" spans="1:18" x14ac:dyDescent="0.25">
      <c r="A207" s="6" t="s">
        <v>44</v>
      </c>
      <c r="B207" s="7">
        <v>46225</v>
      </c>
      <c r="C207" s="6" t="s">
        <v>20</v>
      </c>
      <c r="D207" s="6" t="s">
        <v>50</v>
      </c>
      <c r="E207" s="8"/>
      <c r="F207" s="14">
        <v>100</v>
      </c>
      <c r="G207" s="14">
        <v>59</v>
      </c>
      <c r="H207" s="7">
        <v>48019</v>
      </c>
      <c r="I207" s="8"/>
      <c r="J207" s="15"/>
      <c r="K207" s="15"/>
      <c r="L207" s="6" t="s">
        <v>46</v>
      </c>
      <c r="M207" s="16">
        <v>0.4</v>
      </c>
      <c r="N207" s="6" t="s">
        <v>47</v>
      </c>
      <c r="O207" s="13" t="s">
        <v>48</v>
      </c>
      <c r="P207" s="14"/>
      <c r="Q207" s="16"/>
      <c r="R207" s="9"/>
    </row>
    <row r="208" spans="1:18" x14ac:dyDescent="0.25">
      <c r="A208" s="2" t="s">
        <v>44</v>
      </c>
      <c r="B208" s="3">
        <v>46225</v>
      </c>
      <c r="C208" s="2" t="s">
        <v>23</v>
      </c>
      <c r="D208" s="2" t="s">
        <v>51</v>
      </c>
      <c r="E208" s="4"/>
      <c r="F208" s="10">
        <v>100</v>
      </c>
      <c r="G208" s="10">
        <v>60.67</v>
      </c>
      <c r="H208" s="3">
        <v>48019</v>
      </c>
      <c r="I208" s="4"/>
      <c r="J208" s="11"/>
      <c r="K208" s="11"/>
      <c r="L208" s="2" t="s">
        <v>46</v>
      </c>
      <c r="M208" s="12">
        <v>0.4</v>
      </c>
      <c r="N208" s="2" t="s">
        <v>47</v>
      </c>
      <c r="O208" s="13" t="s">
        <v>48</v>
      </c>
      <c r="P208" s="10"/>
      <c r="Q208" s="12"/>
      <c r="R208" s="5"/>
    </row>
    <row r="209" spans="1:18" x14ac:dyDescent="0.25">
      <c r="A209" s="6" t="s">
        <v>44</v>
      </c>
      <c r="B209" s="7">
        <v>46225</v>
      </c>
      <c r="C209" s="6" t="s">
        <v>26</v>
      </c>
      <c r="D209" s="6" t="s">
        <v>52</v>
      </c>
      <c r="E209" s="8"/>
      <c r="F209" s="14">
        <v>100</v>
      </c>
      <c r="G209" s="14">
        <v>48</v>
      </c>
      <c r="H209" s="7">
        <v>48019</v>
      </c>
      <c r="I209" s="8"/>
      <c r="J209" s="15"/>
      <c r="K209" s="15"/>
      <c r="L209" s="6" t="s">
        <v>46</v>
      </c>
      <c r="M209" s="16">
        <v>0.4</v>
      </c>
      <c r="N209" s="6" t="s">
        <v>47</v>
      </c>
      <c r="O209" s="13" t="s">
        <v>48</v>
      </c>
      <c r="P209" s="14"/>
      <c r="Q209" s="16"/>
      <c r="R209" s="9"/>
    </row>
    <row r="210" spans="1:18" x14ac:dyDescent="0.25">
      <c r="A210" s="2" t="s">
        <v>44</v>
      </c>
      <c r="B210" s="3">
        <v>46225</v>
      </c>
      <c r="C210" s="2" t="s">
        <v>29</v>
      </c>
      <c r="D210" s="2" t="s">
        <v>53</v>
      </c>
      <c r="E210" s="4"/>
      <c r="F210" s="10">
        <v>100</v>
      </c>
      <c r="G210" s="10">
        <v>79</v>
      </c>
      <c r="H210" s="3">
        <v>48019</v>
      </c>
      <c r="I210" s="4"/>
      <c r="J210" s="11"/>
      <c r="K210" s="11"/>
      <c r="L210" s="2" t="s">
        <v>46</v>
      </c>
      <c r="M210" s="12">
        <v>0.4</v>
      </c>
      <c r="N210" s="2" t="s">
        <v>47</v>
      </c>
      <c r="O210" s="13" t="s">
        <v>48</v>
      </c>
      <c r="P210" s="10"/>
      <c r="Q210" s="12"/>
      <c r="R210" s="5"/>
    </row>
    <row r="211" spans="1:18" x14ac:dyDescent="0.25">
      <c r="A211" s="6" t="s">
        <v>44</v>
      </c>
      <c r="B211" s="7">
        <v>46226</v>
      </c>
      <c r="C211" s="6" t="s">
        <v>9</v>
      </c>
      <c r="D211" s="6" t="s">
        <v>45</v>
      </c>
      <c r="E211" s="8"/>
      <c r="F211" s="14">
        <v>100</v>
      </c>
      <c r="G211" s="14">
        <v>200.75</v>
      </c>
      <c r="H211" s="7">
        <v>48019</v>
      </c>
      <c r="I211" s="8"/>
      <c r="J211" s="15"/>
      <c r="K211" s="15"/>
      <c r="L211" s="6" t="s">
        <v>46</v>
      </c>
      <c r="M211" s="16">
        <v>0.4</v>
      </c>
      <c r="N211" s="6" t="s">
        <v>47</v>
      </c>
      <c r="O211" s="13" t="s">
        <v>48</v>
      </c>
      <c r="P211" s="14"/>
      <c r="Q211" s="16"/>
      <c r="R211" s="9"/>
    </row>
    <row r="212" spans="1:18" x14ac:dyDescent="0.25">
      <c r="A212" s="2" t="s">
        <v>44</v>
      </c>
      <c r="B212" s="3">
        <v>46226</v>
      </c>
      <c r="C212" s="2" t="s">
        <v>14</v>
      </c>
      <c r="D212" s="2" t="s">
        <v>49</v>
      </c>
      <c r="E212" s="4"/>
      <c r="F212" s="10">
        <v>500</v>
      </c>
      <c r="G212" s="10">
        <v>710</v>
      </c>
      <c r="H212" s="3">
        <v>48019</v>
      </c>
      <c r="I212" s="4"/>
      <c r="J212" s="11"/>
      <c r="K212" s="11"/>
      <c r="L212" s="2" t="s">
        <v>46</v>
      </c>
      <c r="M212" s="12">
        <v>0.4</v>
      </c>
      <c r="N212" s="2" t="s">
        <v>47</v>
      </c>
      <c r="O212" s="13" t="s">
        <v>48</v>
      </c>
      <c r="P212" s="10"/>
      <c r="Q212" s="12"/>
      <c r="R212" s="5"/>
    </row>
    <row r="213" spans="1:18" x14ac:dyDescent="0.25">
      <c r="A213" s="6" t="s">
        <v>44</v>
      </c>
      <c r="B213" s="7">
        <v>46226</v>
      </c>
      <c r="C213" s="6" t="s">
        <v>17</v>
      </c>
      <c r="D213" s="6" t="s">
        <v>54</v>
      </c>
      <c r="E213" s="8"/>
      <c r="F213" s="14">
        <v>100</v>
      </c>
      <c r="G213" s="14">
        <v>67.25</v>
      </c>
      <c r="H213" s="7">
        <v>48019</v>
      </c>
      <c r="I213" s="8"/>
      <c r="J213" s="15"/>
      <c r="K213" s="15"/>
      <c r="L213" s="6" t="s">
        <v>46</v>
      </c>
      <c r="M213" s="16">
        <v>0.4</v>
      </c>
      <c r="N213" s="6" t="s">
        <v>47</v>
      </c>
      <c r="O213" s="13" t="s">
        <v>48</v>
      </c>
      <c r="P213" s="14"/>
      <c r="Q213" s="16"/>
      <c r="R213" s="9"/>
    </row>
    <row r="214" spans="1:18" x14ac:dyDescent="0.25">
      <c r="A214" s="2" t="s">
        <v>44</v>
      </c>
      <c r="B214" s="3">
        <v>46226</v>
      </c>
      <c r="C214" s="2" t="s">
        <v>20</v>
      </c>
      <c r="D214" s="2" t="s">
        <v>50</v>
      </c>
      <c r="E214" s="4"/>
      <c r="F214" s="10">
        <v>100</v>
      </c>
      <c r="G214" s="10">
        <v>60.6</v>
      </c>
      <c r="H214" s="3">
        <v>48019</v>
      </c>
      <c r="I214" s="4"/>
      <c r="J214" s="11"/>
      <c r="K214" s="11"/>
      <c r="L214" s="2" t="s">
        <v>46</v>
      </c>
      <c r="M214" s="12">
        <v>0.4</v>
      </c>
      <c r="N214" s="2" t="s">
        <v>47</v>
      </c>
      <c r="O214" s="13" t="s">
        <v>48</v>
      </c>
      <c r="P214" s="10"/>
      <c r="Q214" s="12"/>
      <c r="R214" s="5"/>
    </row>
    <row r="215" spans="1:18" x14ac:dyDescent="0.25">
      <c r="A215" s="6" t="s">
        <v>44</v>
      </c>
      <c r="B215" s="7">
        <v>46226</v>
      </c>
      <c r="C215" s="6" t="s">
        <v>23</v>
      </c>
      <c r="D215" s="6" t="s">
        <v>51</v>
      </c>
      <c r="E215" s="8"/>
      <c r="F215" s="14">
        <v>100</v>
      </c>
      <c r="G215" s="14">
        <v>62.33</v>
      </c>
      <c r="H215" s="7">
        <v>48019</v>
      </c>
      <c r="I215" s="8"/>
      <c r="J215" s="15"/>
      <c r="K215" s="15"/>
      <c r="L215" s="6" t="s">
        <v>46</v>
      </c>
      <c r="M215" s="16">
        <v>0.4</v>
      </c>
      <c r="N215" s="6" t="s">
        <v>47</v>
      </c>
      <c r="O215" s="13" t="s">
        <v>48</v>
      </c>
      <c r="P215" s="14"/>
      <c r="Q215" s="16"/>
      <c r="R215" s="9"/>
    </row>
    <row r="216" spans="1:18" x14ac:dyDescent="0.25">
      <c r="A216" s="2" t="s">
        <v>44</v>
      </c>
      <c r="B216" s="3">
        <v>46226</v>
      </c>
      <c r="C216" s="2" t="s">
        <v>26</v>
      </c>
      <c r="D216" s="2" t="s">
        <v>52</v>
      </c>
      <c r="E216" s="4"/>
      <c r="F216" s="10">
        <v>100</v>
      </c>
      <c r="G216" s="10">
        <v>48.8</v>
      </c>
      <c r="H216" s="3">
        <v>48019</v>
      </c>
      <c r="I216" s="4"/>
      <c r="J216" s="11"/>
      <c r="K216" s="11"/>
      <c r="L216" s="2" t="s">
        <v>46</v>
      </c>
      <c r="M216" s="12">
        <v>0.4</v>
      </c>
      <c r="N216" s="2" t="s">
        <v>47</v>
      </c>
      <c r="O216" s="13" t="s">
        <v>48</v>
      </c>
      <c r="P216" s="10"/>
      <c r="Q216" s="12"/>
      <c r="R216" s="5"/>
    </row>
    <row r="217" spans="1:18" x14ac:dyDescent="0.25">
      <c r="A217" s="6" t="s">
        <v>44</v>
      </c>
      <c r="B217" s="7">
        <v>46226</v>
      </c>
      <c r="C217" s="6" t="s">
        <v>29</v>
      </c>
      <c r="D217" s="6" t="s">
        <v>53</v>
      </c>
      <c r="E217" s="8"/>
      <c r="F217" s="14">
        <v>100</v>
      </c>
      <c r="G217" s="14">
        <v>81.8</v>
      </c>
      <c r="H217" s="7">
        <v>48019</v>
      </c>
      <c r="I217" s="8"/>
      <c r="J217" s="15"/>
      <c r="K217" s="15"/>
      <c r="L217" s="6" t="s">
        <v>46</v>
      </c>
      <c r="M217" s="16">
        <v>0.4</v>
      </c>
      <c r="N217" s="6" t="s">
        <v>47</v>
      </c>
      <c r="O217" s="13" t="s">
        <v>48</v>
      </c>
      <c r="P217" s="14"/>
      <c r="Q217" s="16"/>
      <c r="R217" s="9"/>
    </row>
    <row r="218" spans="1:18" x14ac:dyDescent="0.25">
      <c r="A218" s="2" t="s">
        <v>44</v>
      </c>
      <c r="B218" s="3">
        <v>46227</v>
      </c>
      <c r="C218" s="2" t="s">
        <v>9</v>
      </c>
      <c r="D218" s="2" t="s">
        <v>45</v>
      </c>
      <c r="E218" s="4"/>
      <c r="F218" s="10">
        <v>100</v>
      </c>
      <c r="G218" s="10">
        <v>205</v>
      </c>
      <c r="H218" s="3">
        <v>48019</v>
      </c>
      <c r="I218" s="4"/>
      <c r="J218" s="11"/>
      <c r="K218" s="11"/>
      <c r="L218" s="2" t="s">
        <v>46</v>
      </c>
      <c r="M218" s="12">
        <v>0.4</v>
      </c>
      <c r="N218" s="2" t="s">
        <v>47</v>
      </c>
      <c r="O218" s="13" t="s">
        <v>48</v>
      </c>
      <c r="P218" s="10"/>
      <c r="Q218" s="12"/>
      <c r="R218" s="5"/>
    </row>
    <row r="219" spans="1:18" x14ac:dyDescent="0.25">
      <c r="A219" s="6" t="s">
        <v>44</v>
      </c>
      <c r="B219" s="7">
        <v>46227</v>
      </c>
      <c r="C219" s="6" t="s">
        <v>14</v>
      </c>
      <c r="D219" s="6" t="s">
        <v>49</v>
      </c>
      <c r="E219" s="8"/>
      <c r="F219" s="14">
        <v>500</v>
      </c>
      <c r="G219" s="14">
        <v>720</v>
      </c>
      <c r="H219" s="7">
        <v>48019</v>
      </c>
      <c r="I219" s="8"/>
      <c r="J219" s="15"/>
      <c r="K219" s="15"/>
      <c r="L219" s="6" t="s">
        <v>46</v>
      </c>
      <c r="M219" s="16">
        <v>0.4</v>
      </c>
      <c r="N219" s="6" t="s">
        <v>47</v>
      </c>
      <c r="O219" s="13" t="s">
        <v>48</v>
      </c>
      <c r="P219" s="14"/>
      <c r="Q219" s="16"/>
      <c r="R219" s="9"/>
    </row>
    <row r="220" spans="1:18" x14ac:dyDescent="0.25">
      <c r="A220" s="2" t="s">
        <v>44</v>
      </c>
      <c r="B220" s="3">
        <v>46227</v>
      </c>
      <c r="C220" s="2" t="s">
        <v>17</v>
      </c>
      <c r="D220" s="2" t="s">
        <v>54</v>
      </c>
      <c r="E220" s="4"/>
      <c r="F220" s="10">
        <v>100</v>
      </c>
      <c r="G220" s="10">
        <v>70</v>
      </c>
      <c r="H220" s="3">
        <v>48019</v>
      </c>
      <c r="I220" s="4"/>
      <c r="J220" s="11"/>
      <c r="K220" s="11"/>
      <c r="L220" s="2" t="s">
        <v>46</v>
      </c>
      <c r="M220" s="12">
        <v>0.4</v>
      </c>
      <c r="N220" s="2" t="s">
        <v>47</v>
      </c>
      <c r="O220" s="13" t="s">
        <v>48</v>
      </c>
      <c r="P220" s="10"/>
      <c r="Q220" s="12"/>
      <c r="R220" s="5"/>
    </row>
    <row r="221" spans="1:18" x14ac:dyDescent="0.25">
      <c r="A221" s="6" t="s">
        <v>44</v>
      </c>
      <c r="B221" s="7">
        <v>46227</v>
      </c>
      <c r="C221" s="6" t="s">
        <v>20</v>
      </c>
      <c r="D221" s="6" t="s">
        <v>50</v>
      </c>
      <c r="E221" s="8"/>
      <c r="F221" s="14">
        <v>100</v>
      </c>
      <c r="G221" s="14">
        <v>62.2</v>
      </c>
      <c r="H221" s="7">
        <v>48019</v>
      </c>
      <c r="I221" s="8"/>
      <c r="J221" s="15"/>
      <c r="K221" s="15"/>
      <c r="L221" s="6" t="s">
        <v>46</v>
      </c>
      <c r="M221" s="16">
        <v>0.4</v>
      </c>
      <c r="N221" s="6" t="s">
        <v>47</v>
      </c>
      <c r="O221" s="13" t="s">
        <v>48</v>
      </c>
      <c r="P221" s="14"/>
      <c r="Q221" s="16"/>
      <c r="R221" s="9"/>
    </row>
    <row r="222" spans="1:18" x14ac:dyDescent="0.25">
      <c r="A222" s="2" t="s">
        <v>44</v>
      </c>
      <c r="B222" s="3">
        <v>46227</v>
      </c>
      <c r="C222" s="2" t="s">
        <v>23</v>
      </c>
      <c r="D222" s="2" t="s">
        <v>51</v>
      </c>
      <c r="E222" s="4"/>
      <c r="F222" s="10">
        <v>100</v>
      </c>
      <c r="G222" s="10">
        <v>64</v>
      </c>
      <c r="H222" s="3">
        <v>48019</v>
      </c>
      <c r="I222" s="4"/>
      <c r="J222" s="11"/>
      <c r="K222" s="11"/>
      <c r="L222" s="2" t="s">
        <v>46</v>
      </c>
      <c r="M222" s="12">
        <v>0.4</v>
      </c>
      <c r="N222" s="2" t="s">
        <v>47</v>
      </c>
      <c r="O222" s="13" t="s">
        <v>48</v>
      </c>
      <c r="P222" s="10"/>
      <c r="Q222" s="12"/>
      <c r="R222" s="5"/>
    </row>
    <row r="223" spans="1:18" x14ac:dyDescent="0.25">
      <c r="A223" s="6" t="s">
        <v>44</v>
      </c>
      <c r="B223" s="7">
        <v>46227</v>
      </c>
      <c r="C223" s="6" t="s">
        <v>26</v>
      </c>
      <c r="D223" s="6" t="s">
        <v>52</v>
      </c>
      <c r="E223" s="8"/>
      <c r="F223" s="14">
        <v>100</v>
      </c>
      <c r="G223" s="14">
        <v>49.6</v>
      </c>
      <c r="H223" s="7">
        <v>48019</v>
      </c>
      <c r="I223" s="8"/>
      <c r="J223" s="15"/>
      <c r="K223" s="15"/>
      <c r="L223" s="6" t="s">
        <v>46</v>
      </c>
      <c r="M223" s="16">
        <v>0.4</v>
      </c>
      <c r="N223" s="6" t="s">
        <v>47</v>
      </c>
      <c r="O223" s="13" t="s">
        <v>48</v>
      </c>
      <c r="P223" s="14"/>
      <c r="Q223" s="16"/>
      <c r="R223" s="9"/>
    </row>
    <row r="224" spans="1:18" x14ac:dyDescent="0.25">
      <c r="A224" s="2" t="s">
        <v>44</v>
      </c>
      <c r="B224" s="3">
        <v>46227</v>
      </c>
      <c r="C224" s="2" t="s">
        <v>29</v>
      </c>
      <c r="D224" s="2" t="s">
        <v>53</v>
      </c>
      <c r="E224" s="4"/>
      <c r="F224" s="10">
        <v>100</v>
      </c>
      <c r="G224" s="10">
        <v>84.6</v>
      </c>
      <c r="H224" s="3">
        <v>48019</v>
      </c>
      <c r="I224" s="4"/>
      <c r="J224" s="11"/>
      <c r="K224" s="11"/>
      <c r="L224" s="2" t="s">
        <v>46</v>
      </c>
      <c r="M224" s="12">
        <v>0.4</v>
      </c>
      <c r="N224" s="2" t="s">
        <v>47</v>
      </c>
      <c r="O224" s="13" t="s">
        <v>48</v>
      </c>
      <c r="P224" s="10"/>
      <c r="Q224" s="12"/>
      <c r="R224" s="5"/>
    </row>
    <row r="225" spans="1:18" x14ac:dyDescent="0.25">
      <c r="A225" s="6" t="s">
        <v>44</v>
      </c>
      <c r="B225" s="7">
        <v>46230</v>
      </c>
      <c r="C225" s="6" t="s">
        <v>9</v>
      </c>
      <c r="D225" s="6" t="s">
        <v>45</v>
      </c>
      <c r="E225" s="8"/>
      <c r="F225" s="14">
        <v>100</v>
      </c>
      <c r="G225" s="14">
        <v>212.2</v>
      </c>
      <c r="H225" s="7">
        <v>48019</v>
      </c>
      <c r="I225" s="8"/>
      <c r="J225" s="15"/>
      <c r="K225" s="15"/>
      <c r="L225" s="6" t="s">
        <v>46</v>
      </c>
      <c r="M225" s="16">
        <v>0.4</v>
      </c>
      <c r="N225" s="6" t="s">
        <v>47</v>
      </c>
      <c r="O225" s="13" t="s">
        <v>48</v>
      </c>
      <c r="P225" s="14"/>
      <c r="Q225" s="16"/>
      <c r="R225" s="9"/>
    </row>
    <row r="226" spans="1:18" x14ac:dyDescent="0.25">
      <c r="A226" s="2" t="s">
        <v>44</v>
      </c>
      <c r="B226" s="3">
        <v>46230</v>
      </c>
      <c r="C226" s="2" t="s">
        <v>14</v>
      </c>
      <c r="D226" s="2" t="s">
        <v>49</v>
      </c>
      <c r="E226" s="4"/>
      <c r="F226" s="10">
        <v>500</v>
      </c>
      <c r="G226" s="10">
        <v>750</v>
      </c>
      <c r="H226" s="3">
        <v>48019</v>
      </c>
      <c r="I226" s="4"/>
      <c r="J226" s="11"/>
      <c r="K226" s="11"/>
      <c r="L226" s="2" t="s">
        <v>46</v>
      </c>
      <c r="M226" s="12">
        <v>0.4</v>
      </c>
      <c r="N226" s="2" t="s">
        <v>47</v>
      </c>
      <c r="O226" s="13" t="s">
        <v>48</v>
      </c>
      <c r="P226" s="10"/>
      <c r="Q226" s="12"/>
      <c r="R226" s="5"/>
    </row>
    <row r="227" spans="1:18" x14ac:dyDescent="0.25">
      <c r="A227" s="6" t="s">
        <v>44</v>
      </c>
      <c r="B227" s="7">
        <v>46230</v>
      </c>
      <c r="C227" s="6" t="s">
        <v>17</v>
      </c>
      <c r="D227" s="6" t="s">
        <v>54</v>
      </c>
      <c r="E227" s="8"/>
      <c r="F227" s="14">
        <v>100</v>
      </c>
      <c r="G227" s="14">
        <v>80</v>
      </c>
      <c r="H227" s="7">
        <v>48019</v>
      </c>
      <c r="I227" s="8"/>
      <c r="J227" s="15"/>
      <c r="K227" s="15"/>
      <c r="L227" s="6" t="s">
        <v>46</v>
      </c>
      <c r="M227" s="16">
        <v>0.4</v>
      </c>
      <c r="N227" s="6" t="s">
        <v>47</v>
      </c>
      <c r="O227" s="13" t="s">
        <v>48</v>
      </c>
      <c r="P227" s="14"/>
      <c r="Q227" s="16"/>
      <c r="R227" s="9"/>
    </row>
    <row r="228" spans="1:18" x14ac:dyDescent="0.25">
      <c r="A228" s="2" t="s">
        <v>44</v>
      </c>
      <c r="B228" s="3">
        <v>46230</v>
      </c>
      <c r="C228" s="2" t="s">
        <v>20</v>
      </c>
      <c r="D228" s="2" t="s">
        <v>50</v>
      </c>
      <c r="E228" s="4"/>
      <c r="F228" s="10">
        <v>100</v>
      </c>
      <c r="G228" s="10">
        <v>67</v>
      </c>
      <c r="H228" s="3">
        <v>48019</v>
      </c>
      <c r="I228" s="4"/>
      <c r="J228" s="11"/>
      <c r="K228" s="11"/>
      <c r="L228" s="2" t="s">
        <v>46</v>
      </c>
      <c r="M228" s="12">
        <v>0.4</v>
      </c>
      <c r="N228" s="2" t="s">
        <v>47</v>
      </c>
      <c r="O228" s="13" t="s">
        <v>48</v>
      </c>
      <c r="P228" s="10"/>
      <c r="Q228" s="12"/>
      <c r="R228" s="5"/>
    </row>
    <row r="229" spans="1:18" x14ac:dyDescent="0.25">
      <c r="A229" s="6" t="s">
        <v>44</v>
      </c>
      <c r="B229" s="7">
        <v>46230</v>
      </c>
      <c r="C229" s="6" t="s">
        <v>23</v>
      </c>
      <c r="D229" s="6" t="s">
        <v>51</v>
      </c>
      <c r="E229" s="8"/>
      <c r="F229" s="14">
        <v>100</v>
      </c>
      <c r="G229" s="14">
        <v>65.8</v>
      </c>
      <c r="H229" s="7">
        <v>48019</v>
      </c>
      <c r="I229" s="8"/>
      <c r="J229" s="15"/>
      <c r="K229" s="15"/>
      <c r="L229" s="6" t="s">
        <v>46</v>
      </c>
      <c r="M229" s="16">
        <v>0.4</v>
      </c>
      <c r="N229" s="6" t="s">
        <v>47</v>
      </c>
      <c r="O229" s="13" t="s">
        <v>48</v>
      </c>
      <c r="P229" s="14"/>
      <c r="Q229" s="16"/>
      <c r="R229" s="9"/>
    </row>
    <row r="230" spans="1:18" x14ac:dyDescent="0.25">
      <c r="A230" s="2" t="s">
        <v>44</v>
      </c>
      <c r="B230" s="3">
        <v>46230</v>
      </c>
      <c r="C230" s="2" t="s">
        <v>26</v>
      </c>
      <c r="D230" s="2" t="s">
        <v>52</v>
      </c>
      <c r="E230" s="4"/>
      <c r="F230" s="10">
        <v>100</v>
      </c>
      <c r="G230" s="10">
        <v>52</v>
      </c>
      <c r="H230" s="3">
        <v>48019</v>
      </c>
      <c r="I230" s="4"/>
      <c r="J230" s="11"/>
      <c r="K230" s="11"/>
      <c r="L230" s="2" t="s">
        <v>46</v>
      </c>
      <c r="M230" s="12">
        <v>0.4</v>
      </c>
      <c r="N230" s="2" t="s">
        <v>47</v>
      </c>
      <c r="O230" s="13" t="s">
        <v>48</v>
      </c>
      <c r="P230" s="10"/>
      <c r="Q230" s="12"/>
      <c r="R230" s="5"/>
    </row>
    <row r="231" spans="1:18" x14ac:dyDescent="0.25">
      <c r="A231" s="6" t="s">
        <v>44</v>
      </c>
      <c r="B231" s="7">
        <v>46230</v>
      </c>
      <c r="C231" s="6" t="s">
        <v>29</v>
      </c>
      <c r="D231" s="6" t="s">
        <v>53</v>
      </c>
      <c r="E231" s="8"/>
      <c r="F231" s="14">
        <v>100</v>
      </c>
      <c r="G231" s="14">
        <v>93</v>
      </c>
      <c r="H231" s="7">
        <v>48019</v>
      </c>
      <c r="I231" s="8"/>
      <c r="J231" s="15"/>
      <c r="K231" s="15"/>
      <c r="L231" s="6" t="s">
        <v>46</v>
      </c>
      <c r="M231" s="16">
        <v>0.4</v>
      </c>
      <c r="N231" s="6" t="s">
        <v>47</v>
      </c>
      <c r="O231" s="13" t="s">
        <v>48</v>
      </c>
      <c r="P231" s="14"/>
      <c r="Q231" s="16"/>
      <c r="R231" s="9"/>
    </row>
    <row r="232" spans="1:18" x14ac:dyDescent="0.25">
      <c r="A232" s="2" t="s">
        <v>44</v>
      </c>
      <c r="B232" s="3">
        <v>46231</v>
      </c>
      <c r="C232" s="2" t="s">
        <v>9</v>
      </c>
      <c r="D232" s="2" t="s">
        <v>45</v>
      </c>
      <c r="E232" s="4"/>
      <c r="F232" s="10">
        <v>100</v>
      </c>
      <c r="G232" s="10">
        <v>214.6</v>
      </c>
      <c r="H232" s="3">
        <v>48019</v>
      </c>
      <c r="I232" s="4"/>
      <c r="J232" s="11"/>
      <c r="K232" s="11"/>
      <c r="L232" s="2" t="s">
        <v>46</v>
      </c>
      <c r="M232" s="12">
        <v>0.4</v>
      </c>
      <c r="N232" s="2" t="s">
        <v>47</v>
      </c>
      <c r="O232" s="13" t="s">
        <v>48</v>
      </c>
      <c r="P232" s="10"/>
      <c r="Q232" s="12"/>
      <c r="R232" s="5"/>
    </row>
    <row r="233" spans="1:18" x14ac:dyDescent="0.25">
      <c r="A233" s="6" t="s">
        <v>44</v>
      </c>
      <c r="B233" s="7">
        <v>46231</v>
      </c>
      <c r="C233" s="6" t="s">
        <v>14</v>
      </c>
      <c r="D233" s="6" t="s">
        <v>49</v>
      </c>
      <c r="E233" s="8"/>
      <c r="F233" s="14">
        <v>500</v>
      </c>
      <c r="G233" s="14">
        <v>816.67</v>
      </c>
      <c r="H233" s="7">
        <v>48019</v>
      </c>
      <c r="I233" s="8"/>
      <c r="J233" s="15"/>
      <c r="K233" s="15"/>
      <c r="L233" s="6" t="s">
        <v>46</v>
      </c>
      <c r="M233" s="16">
        <v>0.4</v>
      </c>
      <c r="N233" s="6" t="s">
        <v>47</v>
      </c>
      <c r="O233" s="13" t="s">
        <v>48</v>
      </c>
      <c r="P233" s="14"/>
      <c r="Q233" s="16"/>
      <c r="R233" s="9"/>
    </row>
    <row r="234" spans="1:18" x14ac:dyDescent="0.25">
      <c r="A234" s="2" t="s">
        <v>44</v>
      </c>
      <c r="B234" s="3">
        <v>46231</v>
      </c>
      <c r="C234" s="2" t="s">
        <v>17</v>
      </c>
      <c r="D234" s="2" t="s">
        <v>54</v>
      </c>
      <c r="E234" s="4"/>
      <c r="F234" s="10">
        <v>100</v>
      </c>
      <c r="G234" s="10">
        <v>80.67</v>
      </c>
      <c r="H234" s="3">
        <v>48019</v>
      </c>
      <c r="I234" s="4"/>
      <c r="J234" s="11"/>
      <c r="K234" s="11"/>
      <c r="L234" s="2" t="s">
        <v>46</v>
      </c>
      <c r="M234" s="12">
        <v>0.4</v>
      </c>
      <c r="N234" s="2" t="s">
        <v>47</v>
      </c>
      <c r="O234" s="13" t="s">
        <v>48</v>
      </c>
      <c r="P234" s="10"/>
      <c r="Q234" s="12"/>
      <c r="R234" s="5"/>
    </row>
    <row r="235" spans="1:18" x14ac:dyDescent="0.25">
      <c r="A235" s="6" t="s">
        <v>44</v>
      </c>
      <c r="B235" s="7">
        <v>46231</v>
      </c>
      <c r="C235" s="6" t="s">
        <v>20</v>
      </c>
      <c r="D235" s="6" t="s">
        <v>50</v>
      </c>
      <c r="E235" s="8"/>
      <c r="F235" s="14">
        <v>100</v>
      </c>
      <c r="G235" s="14">
        <v>67.67</v>
      </c>
      <c r="H235" s="7">
        <v>48019</v>
      </c>
      <c r="I235" s="8"/>
      <c r="J235" s="15"/>
      <c r="K235" s="15"/>
      <c r="L235" s="6" t="s">
        <v>46</v>
      </c>
      <c r="M235" s="16">
        <v>0.4</v>
      </c>
      <c r="N235" s="6" t="s">
        <v>47</v>
      </c>
      <c r="O235" s="13" t="s">
        <v>48</v>
      </c>
      <c r="P235" s="14"/>
      <c r="Q235" s="16"/>
      <c r="R235" s="9"/>
    </row>
    <row r="236" spans="1:18" x14ac:dyDescent="0.25">
      <c r="A236" s="2" t="s">
        <v>44</v>
      </c>
      <c r="B236" s="3">
        <v>46231</v>
      </c>
      <c r="C236" s="2" t="s">
        <v>23</v>
      </c>
      <c r="D236" s="2" t="s">
        <v>51</v>
      </c>
      <c r="E236" s="4"/>
      <c r="F236" s="10">
        <v>100</v>
      </c>
      <c r="G236" s="10">
        <v>66.4</v>
      </c>
      <c r="H236" s="3">
        <v>48019</v>
      </c>
      <c r="I236" s="4"/>
      <c r="J236" s="11"/>
      <c r="K236" s="11"/>
      <c r="L236" s="2" t="s">
        <v>46</v>
      </c>
      <c r="M236" s="12">
        <v>0.4</v>
      </c>
      <c r="N236" s="2" t="s">
        <v>47</v>
      </c>
      <c r="O236" s="13" t="s">
        <v>48</v>
      </c>
      <c r="P236" s="10"/>
      <c r="Q236" s="12"/>
      <c r="R236" s="5"/>
    </row>
    <row r="237" spans="1:18" x14ac:dyDescent="0.25">
      <c r="A237" s="6" t="s">
        <v>44</v>
      </c>
      <c r="B237" s="7">
        <v>46231</v>
      </c>
      <c r="C237" s="6" t="s">
        <v>26</v>
      </c>
      <c r="D237" s="6" t="s">
        <v>52</v>
      </c>
      <c r="E237" s="8"/>
      <c r="F237" s="14">
        <v>100</v>
      </c>
      <c r="G237" s="14">
        <v>53</v>
      </c>
      <c r="H237" s="7">
        <v>48019</v>
      </c>
      <c r="I237" s="8"/>
      <c r="J237" s="15"/>
      <c r="K237" s="15"/>
      <c r="L237" s="6" t="s">
        <v>46</v>
      </c>
      <c r="M237" s="16">
        <v>0.4</v>
      </c>
      <c r="N237" s="6" t="s">
        <v>47</v>
      </c>
      <c r="O237" s="13" t="s">
        <v>48</v>
      </c>
      <c r="P237" s="14"/>
      <c r="Q237" s="16"/>
      <c r="R237" s="9"/>
    </row>
    <row r="238" spans="1:18" x14ac:dyDescent="0.25">
      <c r="A238" s="2" t="s">
        <v>44</v>
      </c>
      <c r="B238" s="3">
        <v>46231</v>
      </c>
      <c r="C238" s="2" t="s">
        <v>29</v>
      </c>
      <c r="D238" s="2" t="s">
        <v>53</v>
      </c>
      <c r="E238" s="4"/>
      <c r="F238" s="10">
        <v>100</v>
      </c>
      <c r="G238" s="10">
        <v>94.67</v>
      </c>
      <c r="H238" s="3">
        <v>48019</v>
      </c>
      <c r="I238" s="4"/>
      <c r="J238" s="11"/>
      <c r="K238" s="11"/>
      <c r="L238" s="2" t="s">
        <v>46</v>
      </c>
      <c r="M238" s="12">
        <v>0.4</v>
      </c>
      <c r="N238" s="2" t="s">
        <v>47</v>
      </c>
      <c r="O238" s="13" t="s">
        <v>48</v>
      </c>
      <c r="P238" s="10"/>
      <c r="Q238" s="12"/>
      <c r="R238" s="5"/>
    </row>
    <row r="239" spans="1:18" x14ac:dyDescent="0.25">
      <c r="A239" s="6" t="s">
        <v>44</v>
      </c>
      <c r="B239" s="7">
        <v>46232</v>
      </c>
      <c r="C239" s="6" t="s">
        <v>9</v>
      </c>
      <c r="D239" s="6" t="s">
        <v>45</v>
      </c>
      <c r="E239" s="8"/>
      <c r="F239" s="14">
        <v>100</v>
      </c>
      <c r="G239" s="14">
        <v>217</v>
      </c>
      <c r="H239" s="7">
        <v>48019</v>
      </c>
      <c r="I239" s="8"/>
      <c r="J239" s="15"/>
      <c r="K239" s="15"/>
      <c r="L239" s="6" t="s">
        <v>46</v>
      </c>
      <c r="M239" s="16">
        <v>0.4</v>
      </c>
      <c r="N239" s="6" t="s">
        <v>47</v>
      </c>
      <c r="O239" s="13" t="s">
        <v>48</v>
      </c>
      <c r="P239" s="14"/>
      <c r="Q239" s="16"/>
      <c r="R239" s="9"/>
    </row>
    <row r="240" spans="1:18" x14ac:dyDescent="0.25">
      <c r="A240" s="2" t="s">
        <v>44</v>
      </c>
      <c r="B240" s="3">
        <v>46232</v>
      </c>
      <c r="C240" s="2" t="s">
        <v>14</v>
      </c>
      <c r="D240" s="2" t="s">
        <v>49</v>
      </c>
      <c r="E240" s="4"/>
      <c r="F240" s="10">
        <v>500</v>
      </c>
      <c r="G240" s="10">
        <v>883.33</v>
      </c>
      <c r="H240" s="3">
        <v>48019</v>
      </c>
      <c r="I240" s="4"/>
      <c r="J240" s="11"/>
      <c r="K240" s="11"/>
      <c r="L240" s="2" t="s">
        <v>46</v>
      </c>
      <c r="M240" s="12">
        <v>0.4</v>
      </c>
      <c r="N240" s="2" t="s">
        <v>47</v>
      </c>
      <c r="O240" s="13" t="s">
        <v>48</v>
      </c>
      <c r="P240" s="10"/>
      <c r="Q240" s="12"/>
      <c r="R240" s="5"/>
    </row>
    <row r="241" spans="1:18" x14ac:dyDescent="0.25">
      <c r="A241" s="6" t="s">
        <v>44</v>
      </c>
      <c r="B241" s="7">
        <v>46232</v>
      </c>
      <c r="C241" s="6" t="s">
        <v>17</v>
      </c>
      <c r="D241" s="6" t="s">
        <v>54</v>
      </c>
      <c r="E241" s="8"/>
      <c r="F241" s="14">
        <v>100</v>
      </c>
      <c r="G241" s="14">
        <v>81.33</v>
      </c>
      <c r="H241" s="7">
        <v>48019</v>
      </c>
      <c r="I241" s="8"/>
      <c r="J241" s="15"/>
      <c r="K241" s="15"/>
      <c r="L241" s="6" t="s">
        <v>46</v>
      </c>
      <c r="M241" s="16">
        <v>0.4</v>
      </c>
      <c r="N241" s="6" t="s">
        <v>47</v>
      </c>
      <c r="O241" s="13" t="s">
        <v>48</v>
      </c>
      <c r="P241" s="14"/>
      <c r="Q241" s="16"/>
      <c r="R241" s="9"/>
    </row>
    <row r="242" spans="1:18" x14ac:dyDescent="0.25">
      <c r="A242" s="2" t="s">
        <v>44</v>
      </c>
      <c r="B242" s="3">
        <v>46232</v>
      </c>
      <c r="C242" s="2" t="s">
        <v>20</v>
      </c>
      <c r="D242" s="2" t="s">
        <v>50</v>
      </c>
      <c r="E242" s="4"/>
      <c r="F242" s="10">
        <v>100</v>
      </c>
      <c r="G242" s="10">
        <v>68.33</v>
      </c>
      <c r="H242" s="3">
        <v>48019</v>
      </c>
      <c r="I242" s="4"/>
      <c r="J242" s="11"/>
      <c r="K242" s="11"/>
      <c r="L242" s="2" t="s">
        <v>46</v>
      </c>
      <c r="M242" s="12">
        <v>0.4</v>
      </c>
      <c r="N242" s="2" t="s">
        <v>47</v>
      </c>
      <c r="O242" s="13" t="s">
        <v>48</v>
      </c>
      <c r="P242" s="10"/>
      <c r="Q242" s="12"/>
      <c r="R242" s="5"/>
    </row>
    <row r="243" spans="1:18" x14ac:dyDescent="0.25">
      <c r="A243" s="6" t="s">
        <v>44</v>
      </c>
      <c r="B243" s="7">
        <v>46232</v>
      </c>
      <c r="C243" s="6" t="s">
        <v>23</v>
      </c>
      <c r="D243" s="6" t="s">
        <v>51</v>
      </c>
      <c r="E243" s="8"/>
      <c r="F243" s="14">
        <v>100</v>
      </c>
      <c r="G243" s="14">
        <v>67</v>
      </c>
      <c r="H243" s="7">
        <v>48019</v>
      </c>
      <c r="I243" s="8"/>
      <c r="J243" s="15"/>
      <c r="K243" s="15"/>
      <c r="L243" s="6" t="s">
        <v>46</v>
      </c>
      <c r="M243" s="16">
        <v>0.4</v>
      </c>
      <c r="N243" s="6" t="s">
        <v>47</v>
      </c>
      <c r="O243" s="13" t="s">
        <v>48</v>
      </c>
      <c r="P243" s="14"/>
      <c r="Q243" s="16"/>
      <c r="R243" s="9"/>
    </row>
    <row r="244" spans="1:18" x14ac:dyDescent="0.25">
      <c r="A244" s="2" t="s">
        <v>44</v>
      </c>
      <c r="B244" s="3">
        <v>46232</v>
      </c>
      <c r="C244" s="2" t="s">
        <v>26</v>
      </c>
      <c r="D244" s="2" t="s">
        <v>52</v>
      </c>
      <c r="E244" s="4"/>
      <c r="F244" s="10">
        <v>100</v>
      </c>
      <c r="G244" s="10">
        <v>54</v>
      </c>
      <c r="H244" s="3">
        <v>48019</v>
      </c>
      <c r="I244" s="4"/>
      <c r="J244" s="11"/>
      <c r="K244" s="11"/>
      <c r="L244" s="2" t="s">
        <v>46</v>
      </c>
      <c r="M244" s="12">
        <v>0.4</v>
      </c>
      <c r="N244" s="2" t="s">
        <v>47</v>
      </c>
      <c r="O244" s="13" t="s">
        <v>48</v>
      </c>
      <c r="P244" s="10"/>
      <c r="Q244" s="12"/>
      <c r="R244" s="5"/>
    </row>
    <row r="245" spans="1:18" x14ac:dyDescent="0.25">
      <c r="A245" s="6" t="s">
        <v>44</v>
      </c>
      <c r="B245" s="7">
        <v>46232</v>
      </c>
      <c r="C245" s="6" t="s">
        <v>29</v>
      </c>
      <c r="D245" s="6" t="s">
        <v>53</v>
      </c>
      <c r="E245" s="8"/>
      <c r="F245" s="14">
        <v>100</v>
      </c>
      <c r="G245" s="14">
        <v>96.33</v>
      </c>
      <c r="H245" s="7">
        <v>48019</v>
      </c>
      <c r="I245" s="8"/>
      <c r="J245" s="15"/>
      <c r="K245" s="15"/>
      <c r="L245" s="6" t="s">
        <v>46</v>
      </c>
      <c r="M245" s="16">
        <v>0.4</v>
      </c>
      <c r="N245" s="6" t="s">
        <v>47</v>
      </c>
      <c r="O245" s="13" t="s">
        <v>48</v>
      </c>
      <c r="P245" s="14"/>
      <c r="Q245" s="16"/>
      <c r="R245" s="9"/>
    </row>
    <row r="246" spans="1:18" x14ac:dyDescent="0.25">
      <c r="A246" s="2" t="s">
        <v>44</v>
      </c>
      <c r="B246" s="3">
        <v>46233</v>
      </c>
      <c r="C246" s="2" t="s">
        <v>9</v>
      </c>
      <c r="D246" s="2" t="s">
        <v>45</v>
      </c>
      <c r="E246" s="4"/>
      <c r="F246" s="10">
        <v>100</v>
      </c>
      <c r="G246" s="10">
        <v>213.8</v>
      </c>
      <c r="H246" s="3">
        <v>48019</v>
      </c>
      <c r="I246" s="4"/>
      <c r="J246" s="11"/>
      <c r="K246" s="11"/>
      <c r="L246" s="2" t="s">
        <v>46</v>
      </c>
      <c r="M246" s="12">
        <v>0.4</v>
      </c>
      <c r="N246" s="2" t="s">
        <v>47</v>
      </c>
      <c r="O246" s="13" t="s">
        <v>48</v>
      </c>
      <c r="P246" s="10"/>
      <c r="Q246" s="12"/>
      <c r="R246" s="5"/>
    </row>
    <row r="247" spans="1:18" x14ac:dyDescent="0.25">
      <c r="A247" s="6" t="s">
        <v>44</v>
      </c>
      <c r="B247" s="7">
        <v>46233</v>
      </c>
      <c r="C247" s="6" t="s">
        <v>14</v>
      </c>
      <c r="D247" s="6" t="s">
        <v>49</v>
      </c>
      <c r="E247" s="8"/>
      <c r="F247" s="14">
        <v>500</v>
      </c>
      <c r="G247" s="14">
        <v>950</v>
      </c>
      <c r="H247" s="7">
        <v>48019</v>
      </c>
      <c r="I247" s="8"/>
      <c r="J247" s="15"/>
      <c r="K247" s="15"/>
      <c r="L247" s="6" t="s">
        <v>46</v>
      </c>
      <c r="M247" s="16">
        <v>0.4</v>
      </c>
      <c r="N247" s="6" t="s">
        <v>47</v>
      </c>
      <c r="O247" s="13" t="s">
        <v>48</v>
      </c>
      <c r="P247" s="14"/>
      <c r="Q247" s="16"/>
      <c r="R247" s="9"/>
    </row>
    <row r="248" spans="1:18" x14ac:dyDescent="0.25">
      <c r="A248" s="2" t="s">
        <v>44</v>
      </c>
      <c r="B248" s="3">
        <v>46233</v>
      </c>
      <c r="C248" s="2" t="s">
        <v>17</v>
      </c>
      <c r="D248" s="2" t="s">
        <v>54</v>
      </c>
      <c r="E248" s="4"/>
      <c r="F248" s="10">
        <v>100</v>
      </c>
      <c r="G248" s="10">
        <v>82</v>
      </c>
      <c r="H248" s="3">
        <v>48019</v>
      </c>
      <c r="I248" s="4"/>
      <c r="J248" s="11"/>
      <c r="K248" s="11"/>
      <c r="L248" s="2" t="s">
        <v>46</v>
      </c>
      <c r="M248" s="12">
        <v>0.4</v>
      </c>
      <c r="N248" s="2" t="s">
        <v>47</v>
      </c>
      <c r="O248" s="13" t="s">
        <v>48</v>
      </c>
      <c r="P248" s="10"/>
      <c r="Q248" s="12"/>
      <c r="R248" s="5"/>
    </row>
    <row r="249" spans="1:18" x14ac:dyDescent="0.25">
      <c r="A249" s="6" t="s">
        <v>44</v>
      </c>
      <c r="B249" s="7">
        <v>46233</v>
      </c>
      <c r="C249" s="6" t="s">
        <v>20</v>
      </c>
      <c r="D249" s="6" t="s">
        <v>50</v>
      </c>
      <c r="E249" s="8"/>
      <c r="F249" s="14">
        <v>100</v>
      </c>
      <c r="G249" s="14">
        <v>69</v>
      </c>
      <c r="H249" s="7">
        <v>48019</v>
      </c>
      <c r="I249" s="8"/>
      <c r="J249" s="15"/>
      <c r="K249" s="15"/>
      <c r="L249" s="6" t="s">
        <v>46</v>
      </c>
      <c r="M249" s="16">
        <v>0.4</v>
      </c>
      <c r="N249" s="6" t="s">
        <v>47</v>
      </c>
      <c r="O249" s="13" t="s">
        <v>48</v>
      </c>
      <c r="P249" s="14"/>
      <c r="Q249" s="16"/>
      <c r="R249" s="9"/>
    </row>
    <row r="250" spans="1:18" x14ac:dyDescent="0.25">
      <c r="A250" s="2" t="s">
        <v>44</v>
      </c>
      <c r="B250" s="3">
        <v>46233</v>
      </c>
      <c r="C250" s="2" t="s">
        <v>23</v>
      </c>
      <c r="D250" s="2" t="s">
        <v>51</v>
      </c>
      <c r="E250" s="4"/>
      <c r="F250" s="10">
        <v>100</v>
      </c>
      <c r="G250" s="10">
        <v>64.8</v>
      </c>
      <c r="H250" s="3">
        <v>48019</v>
      </c>
      <c r="I250" s="4"/>
      <c r="J250" s="11"/>
      <c r="K250" s="11"/>
      <c r="L250" s="2" t="s">
        <v>46</v>
      </c>
      <c r="M250" s="12">
        <v>0.4</v>
      </c>
      <c r="N250" s="2" t="s">
        <v>47</v>
      </c>
      <c r="O250" s="13" t="s">
        <v>48</v>
      </c>
      <c r="P250" s="10"/>
      <c r="Q250" s="12"/>
      <c r="R250" s="5"/>
    </row>
    <row r="251" spans="1:18" x14ac:dyDescent="0.25">
      <c r="A251" s="6" t="s">
        <v>44</v>
      </c>
      <c r="B251" s="7">
        <v>46233</v>
      </c>
      <c r="C251" s="6" t="s">
        <v>26</v>
      </c>
      <c r="D251" s="6" t="s">
        <v>52</v>
      </c>
      <c r="E251" s="8"/>
      <c r="F251" s="14">
        <v>100</v>
      </c>
      <c r="G251" s="14">
        <v>55</v>
      </c>
      <c r="H251" s="7">
        <v>48019</v>
      </c>
      <c r="I251" s="8"/>
      <c r="J251" s="15"/>
      <c r="K251" s="15"/>
      <c r="L251" s="6" t="s">
        <v>46</v>
      </c>
      <c r="M251" s="16">
        <v>0.4</v>
      </c>
      <c r="N251" s="6" t="s">
        <v>47</v>
      </c>
      <c r="O251" s="13" t="s">
        <v>48</v>
      </c>
      <c r="P251" s="14"/>
      <c r="Q251" s="16"/>
      <c r="R251" s="9"/>
    </row>
    <row r="252" spans="1:18" x14ac:dyDescent="0.25">
      <c r="A252" s="2" t="s">
        <v>44</v>
      </c>
      <c r="B252" s="3">
        <v>46233</v>
      </c>
      <c r="C252" s="2" t="s">
        <v>29</v>
      </c>
      <c r="D252" s="2" t="s">
        <v>53</v>
      </c>
      <c r="E252" s="4"/>
      <c r="F252" s="10">
        <v>100</v>
      </c>
      <c r="G252" s="10">
        <v>98</v>
      </c>
      <c r="H252" s="3">
        <v>48019</v>
      </c>
      <c r="I252" s="4"/>
      <c r="J252" s="11"/>
      <c r="K252" s="11"/>
      <c r="L252" s="2" t="s">
        <v>46</v>
      </c>
      <c r="M252" s="12">
        <v>0.4</v>
      </c>
      <c r="N252" s="2" t="s">
        <v>47</v>
      </c>
      <c r="O252" s="13" t="s">
        <v>48</v>
      </c>
      <c r="P252" s="10"/>
      <c r="Q252" s="12"/>
      <c r="R252" s="5"/>
    </row>
    <row r="253" spans="1:18" x14ac:dyDescent="0.25">
      <c r="A253" s="6" t="s">
        <v>44</v>
      </c>
      <c r="B253" s="7">
        <v>46234</v>
      </c>
      <c r="C253" s="6" t="s">
        <v>9</v>
      </c>
      <c r="D253" s="6" t="s">
        <v>45</v>
      </c>
      <c r="E253" s="8"/>
      <c r="F253" s="14">
        <v>100</v>
      </c>
      <c r="G253" s="14">
        <v>210.6</v>
      </c>
      <c r="H253" s="7">
        <v>48019</v>
      </c>
      <c r="I253" s="8"/>
      <c r="J253" s="15"/>
      <c r="K253" s="15"/>
      <c r="L253" s="6" t="s">
        <v>46</v>
      </c>
      <c r="M253" s="16">
        <v>0.4</v>
      </c>
      <c r="N253" s="6" t="s">
        <v>47</v>
      </c>
      <c r="O253" s="13" t="s">
        <v>48</v>
      </c>
      <c r="P253" s="14"/>
      <c r="Q253" s="16"/>
      <c r="R253" s="9"/>
    </row>
    <row r="254" spans="1:18" x14ac:dyDescent="0.25">
      <c r="A254" s="2" t="s">
        <v>44</v>
      </c>
      <c r="B254" s="3">
        <v>46234</v>
      </c>
      <c r="C254" s="2" t="s">
        <v>14</v>
      </c>
      <c r="D254" s="2" t="s">
        <v>49</v>
      </c>
      <c r="E254" s="4"/>
      <c r="F254" s="10">
        <v>500</v>
      </c>
      <c r="G254" s="10">
        <v>917.5</v>
      </c>
      <c r="H254" s="3">
        <v>48019</v>
      </c>
      <c r="I254" s="4"/>
      <c r="J254" s="11"/>
      <c r="K254" s="11"/>
      <c r="L254" s="2" t="s">
        <v>46</v>
      </c>
      <c r="M254" s="12">
        <v>0.4</v>
      </c>
      <c r="N254" s="2" t="s">
        <v>47</v>
      </c>
      <c r="O254" s="13" t="s">
        <v>48</v>
      </c>
      <c r="P254" s="10"/>
      <c r="Q254" s="12"/>
      <c r="R254" s="5"/>
    </row>
    <row r="255" spans="1:18" x14ac:dyDescent="0.25">
      <c r="A255" s="6" t="s">
        <v>44</v>
      </c>
      <c r="B255" s="7">
        <v>46234</v>
      </c>
      <c r="C255" s="6" t="s">
        <v>17</v>
      </c>
      <c r="D255" s="6" t="s">
        <v>54</v>
      </c>
      <c r="E255" s="8"/>
      <c r="F255" s="14">
        <v>100</v>
      </c>
      <c r="G255" s="14">
        <v>80</v>
      </c>
      <c r="H255" s="7">
        <v>48019</v>
      </c>
      <c r="I255" s="8"/>
      <c r="J255" s="15"/>
      <c r="K255" s="15"/>
      <c r="L255" s="6" t="s">
        <v>46</v>
      </c>
      <c r="M255" s="16">
        <v>0.4</v>
      </c>
      <c r="N255" s="6" t="s">
        <v>47</v>
      </c>
      <c r="O255" s="13" t="s">
        <v>48</v>
      </c>
      <c r="P255" s="14"/>
      <c r="Q255" s="16"/>
      <c r="R255" s="9"/>
    </row>
    <row r="256" spans="1:18" x14ac:dyDescent="0.25">
      <c r="A256" s="2" t="s">
        <v>44</v>
      </c>
      <c r="B256" s="3">
        <v>46234</v>
      </c>
      <c r="C256" s="2" t="s">
        <v>20</v>
      </c>
      <c r="D256" s="2" t="s">
        <v>50</v>
      </c>
      <c r="E256" s="4"/>
      <c r="F256" s="10">
        <v>100</v>
      </c>
      <c r="G256" s="10">
        <v>66</v>
      </c>
      <c r="H256" s="3">
        <v>48019</v>
      </c>
      <c r="I256" s="4"/>
      <c r="J256" s="11"/>
      <c r="K256" s="11"/>
      <c r="L256" s="2" t="s">
        <v>46</v>
      </c>
      <c r="M256" s="12">
        <v>0.4</v>
      </c>
      <c r="N256" s="2" t="s">
        <v>47</v>
      </c>
      <c r="O256" s="13" t="s">
        <v>48</v>
      </c>
      <c r="P256" s="10"/>
      <c r="Q256" s="12"/>
      <c r="R256" s="5"/>
    </row>
    <row r="257" spans="1:18" x14ac:dyDescent="0.25">
      <c r="A257" s="6" t="s">
        <v>44</v>
      </c>
      <c r="B257" s="7">
        <v>46234</v>
      </c>
      <c r="C257" s="6" t="s">
        <v>23</v>
      </c>
      <c r="D257" s="6" t="s">
        <v>51</v>
      </c>
      <c r="E257" s="8"/>
      <c r="F257" s="14">
        <v>100</v>
      </c>
      <c r="G257" s="14">
        <v>62.6</v>
      </c>
      <c r="H257" s="7">
        <v>48019</v>
      </c>
      <c r="I257" s="8"/>
      <c r="J257" s="15"/>
      <c r="K257" s="15"/>
      <c r="L257" s="6" t="s">
        <v>46</v>
      </c>
      <c r="M257" s="16">
        <v>0.4</v>
      </c>
      <c r="N257" s="6" t="s">
        <v>47</v>
      </c>
      <c r="O257" s="13" t="s">
        <v>48</v>
      </c>
      <c r="P257" s="14"/>
      <c r="Q257" s="16"/>
      <c r="R257" s="9"/>
    </row>
    <row r="258" spans="1:18" x14ac:dyDescent="0.25">
      <c r="A258" s="2" t="s">
        <v>44</v>
      </c>
      <c r="B258" s="3">
        <v>46234</v>
      </c>
      <c r="C258" s="2" t="s">
        <v>26</v>
      </c>
      <c r="D258" s="2" t="s">
        <v>52</v>
      </c>
      <c r="E258" s="4"/>
      <c r="F258" s="10">
        <v>100</v>
      </c>
      <c r="G258" s="10">
        <v>53</v>
      </c>
      <c r="H258" s="3">
        <v>48019</v>
      </c>
      <c r="I258" s="4"/>
      <c r="J258" s="11"/>
      <c r="K258" s="11"/>
      <c r="L258" s="2" t="s">
        <v>46</v>
      </c>
      <c r="M258" s="12">
        <v>0.4</v>
      </c>
      <c r="N258" s="2" t="s">
        <v>47</v>
      </c>
      <c r="O258" s="13" t="s">
        <v>48</v>
      </c>
      <c r="P258" s="10"/>
      <c r="Q258" s="12"/>
      <c r="R258" s="5"/>
    </row>
    <row r="259" spans="1:18" x14ac:dyDescent="0.25">
      <c r="A259" s="6" t="s">
        <v>44</v>
      </c>
      <c r="B259" s="7">
        <v>46234</v>
      </c>
      <c r="C259" s="6" t="s">
        <v>29</v>
      </c>
      <c r="D259" s="6" t="s">
        <v>53</v>
      </c>
      <c r="E259" s="8"/>
      <c r="F259" s="14">
        <v>100</v>
      </c>
      <c r="G259" s="14">
        <v>94.25</v>
      </c>
      <c r="H259" s="7">
        <v>48019</v>
      </c>
      <c r="I259" s="8"/>
      <c r="J259" s="15"/>
      <c r="K259" s="15"/>
      <c r="L259" s="6" t="s">
        <v>46</v>
      </c>
      <c r="M259" s="16">
        <v>0.4</v>
      </c>
      <c r="N259" s="6" t="s">
        <v>47</v>
      </c>
      <c r="O259" s="13" t="s">
        <v>48</v>
      </c>
      <c r="P259" s="14"/>
      <c r="Q259" s="16"/>
      <c r="R259" s="9"/>
    </row>
    <row r="260" spans="1:18" x14ac:dyDescent="0.25">
      <c r="A260" s="2" t="s">
        <v>44</v>
      </c>
      <c r="B260" s="3">
        <v>46237</v>
      </c>
      <c r="C260" s="2" t="s">
        <v>9</v>
      </c>
      <c r="D260" s="2" t="s">
        <v>45</v>
      </c>
      <c r="E260" s="4"/>
      <c r="F260" s="10">
        <v>100</v>
      </c>
      <c r="G260" s="10">
        <v>201</v>
      </c>
      <c r="H260" s="3">
        <v>48019</v>
      </c>
      <c r="I260" s="4"/>
      <c r="J260" s="11"/>
      <c r="K260" s="11"/>
      <c r="L260" s="2" t="s">
        <v>46</v>
      </c>
      <c r="M260" s="12">
        <v>0.4</v>
      </c>
      <c r="N260" s="2" t="s">
        <v>47</v>
      </c>
      <c r="O260" s="13" t="s">
        <v>48</v>
      </c>
      <c r="P260" s="10"/>
      <c r="Q260" s="12"/>
      <c r="R260" s="5"/>
    </row>
    <row r="261" spans="1:18" x14ac:dyDescent="0.25">
      <c r="A261" s="6" t="s">
        <v>44</v>
      </c>
      <c r="B261" s="7">
        <v>46237</v>
      </c>
      <c r="C261" s="6" t="s">
        <v>14</v>
      </c>
      <c r="D261" s="6" t="s">
        <v>49</v>
      </c>
      <c r="E261" s="8"/>
      <c r="F261" s="14">
        <v>500</v>
      </c>
      <c r="G261" s="14">
        <v>820</v>
      </c>
      <c r="H261" s="7">
        <v>48019</v>
      </c>
      <c r="I261" s="8"/>
      <c r="J261" s="15"/>
      <c r="K261" s="15"/>
      <c r="L261" s="6" t="s">
        <v>46</v>
      </c>
      <c r="M261" s="16">
        <v>0.4</v>
      </c>
      <c r="N261" s="6" t="s">
        <v>47</v>
      </c>
      <c r="O261" s="13" t="s">
        <v>48</v>
      </c>
      <c r="P261" s="14"/>
      <c r="Q261" s="16"/>
      <c r="R261" s="9"/>
    </row>
    <row r="262" spans="1:18" x14ac:dyDescent="0.25">
      <c r="A262" s="2" t="s">
        <v>44</v>
      </c>
      <c r="B262" s="3">
        <v>46237</v>
      </c>
      <c r="C262" s="2" t="s">
        <v>17</v>
      </c>
      <c r="D262" s="2" t="s">
        <v>54</v>
      </c>
      <c r="E262" s="4"/>
      <c r="F262" s="10">
        <v>100</v>
      </c>
      <c r="G262" s="10">
        <v>74</v>
      </c>
      <c r="H262" s="3">
        <v>48019</v>
      </c>
      <c r="I262" s="4"/>
      <c r="J262" s="11"/>
      <c r="K262" s="11"/>
      <c r="L262" s="2" t="s">
        <v>46</v>
      </c>
      <c r="M262" s="12">
        <v>0.4</v>
      </c>
      <c r="N262" s="2" t="s">
        <v>47</v>
      </c>
      <c r="O262" s="13" t="s">
        <v>48</v>
      </c>
      <c r="P262" s="10"/>
      <c r="Q262" s="12"/>
      <c r="R262" s="5"/>
    </row>
    <row r="263" spans="1:18" x14ac:dyDescent="0.25">
      <c r="A263" s="6" t="s">
        <v>44</v>
      </c>
      <c r="B263" s="7">
        <v>46237</v>
      </c>
      <c r="C263" s="6" t="s">
        <v>20</v>
      </c>
      <c r="D263" s="6" t="s">
        <v>50</v>
      </c>
      <c r="E263" s="8"/>
      <c r="F263" s="14">
        <v>100</v>
      </c>
      <c r="G263" s="14">
        <v>57</v>
      </c>
      <c r="H263" s="7">
        <v>48019</v>
      </c>
      <c r="I263" s="8"/>
      <c r="J263" s="15"/>
      <c r="K263" s="15"/>
      <c r="L263" s="6" t="s">
        <v>46</v>
      </c>
      <c r="M263" s="16">
        <v>0.4</v>
      </c>
      <c r="N263" s="6" t="s">
        <v>47</v>
      </c>
      <c r="O263" s="13" t="s">
        <v>48</v>
      </c>
      <c r="P263" s="14"/>
      <c r="Q263" s="16"/>
      <c r="R263" s="9"/>
    </row>
    <row r="264" spans="1:18" x14ac:dyDescent="0.25">
      <c r="A264" s="2" t="s">
        <v>44</v>
      </c>
      <c r="B264" s="3">
        <v>46237</v>
      </c>
      <c r="C264" s="2" t="s">
        <v>23</v>
      </c>
      <c r="D264" s="2" t="s">
        <v>51</v>
      </c>
      <c r="E264" s="4"/>
      <c r="F264" s="10">
        <v>100</v>
      </c>
      <c r="G264" s="10">
        <v>56</v>
      </c>
      <c r="H264" s="3">
        <v>48019</v>
      </c>
      <c r="I264" s="4"/>
      <c r="J264" s="11"/>
      <c r="K264" s="11"/>
      <c r="L264" s="2" t="s">
        <v>46</v>
      </c>
      <c r="M264" s="12">
        <v>0.4</v>
      </c>
      <c r="N264" s="2" t="s">
        <v>47</v>
      </c>
      <c r="O264" s="13" t="s">
        <v>48</v>
      </c>
      <c r="P264" s="10"/>
      <c r="Q264" s="12"/>
      <c r="R264" s="5"/>
    </row>
    <row r="265" spans="1:18" x14ac:dyDescent="0.25">
      <c r="A265" s="6" t="s">
        <v>44</v>
      </c>
      <c r="B265" s="7">
        <v>46237</v>
      </c>
      <c r="C265" s="6" t="s">
        <v>26</v>
      </c>
      <c r="D265" s="6" t="s">
        <v>52</v>
      </c>
      <c r="E265" s="8"/>
      <c r="F265" s="14">
        <v>100</v>
      </c>
      <c r="G265" s="14">
        <v>47</v>
      </c>
      <c r="H265" s="7">
        <v>48019</v>
      </c>
      <c r="I265" s="8"/>
      <c r="J265" s="15"/>
      <c r="K265" s="15"/>
      <c r="L265" s="6" t="s">
        <v>46</v>
      </c>
      <c r="M265" s="16">
        <v>0.4</v>
      </c>
      <c r="N265" s="6" t="s">
        <v>47</v>
      </c>
      <c r="O265" s="13" t="s">
        <v>48</v>
      </c>
      <c r="P265" s="14"/>
      <c r="Q265" s="16"/>
      <c r="R265" s="9"/>
    </row>
    <row r="266" spans="1:18" x14ac:dyDescent="0.25">
      <c r="A266" s="2" t="s">
        <v>44</v>
      </c>
      <c r="B266" s="3">
        <v>46237</v>
      </c>
      <c r="C266" s="2" t="s">
        <v>29</v>
      </c>
      <c r="D266" s="2" t="s">
        <v>53</v>
      </c>
      <c r="E266" s="4"/>
      <c r="F266" s="10">
        <v>100</v>
      </c>
      <c r="G266" s="10">
        <v>83</v>
      </c>
      <c r="H266" s="3">
        <v>48019</v>
      </c>
      <c r="I266" s="4"/>
      <c r="J266" s="11"/>
      <c r="K266" s="11"/>
      <c r="L266" s="2" t="s">
        <v>46</v>
      </c>
      <c r="M266" s="12">
        <v>0.4</v>
      </c>
      <c r="N266" s="2" t="s">
        <v>47</v>
      </c>
      <c r="O266" s="13" t="s">
        <v>48</v>
      </c>
      <c r="P266" s="10"/>
      <c r="Q266" s="12"/>
      <c r="R266" s="5"/>
    </row>
    <row r="267" spans="1:18" x14ac:dyDescent="0.25">
      <c r="A267" s="6" t="s">
        <v>44</v>
      </c>
      <c r="B267" s="7">
        <v>46238</v>
      </c>
      <c r="C267" s="6" t="s">
        <v>9</v>
      </c>
      <c r="D267" s="6" t="s">
        <v>45</v>
      </c>
      <c r="E267" s="8"/>
      <c r="F267" s="14">
        <v>100</v>
      </c>
      <c r="G267" s="14">
        <v>197</v>
      </c>
      <c r="H267" s="7">
        <v>48019</v>
      </c>
      <c r="I267" s="8"/>
      <c r="J267" s="15"/>
      <c r="K267" s="15"/>
      <c r="L267" s="6" t="s">
        <v>46</v>
      </c>
      <c r="M267" s="16">
        <v>0.4</v>
      </c>
      <c r="N267" s="6" t="s">
        <v>47</v>
      </c>
      <c r="O267" s="13" t="s">
        <v>48</v>
      </c>
      <c r="P267" s="14"/>
      <c r="Q267" s="16"/>
      <c r="R267" s="9"/>
    </row>
    <row r="268" spans="1:18" x14ac:dyDescent="0.25">
      <c r="A268" s="2" t="s">
        <v>44</v>
      </c>
      <c r="B268" s="3">
        <v>46238</v>
      </c>
      <c r="C268" s="2" t="s">
        <v>14</v>
      </c>
      <c r="D268" s="2" t="s">
        <v>49</v>
      </c>
      <c r="E268" s="4"/>
      <c r="F268" s="10">
        <v>500</v>
      </c>
      <c r="G268" s="10">
        <v>783.33</v>
      </c>
      <c r="H268" s="3">
        <v>48019</v>
      </c>
      <c r="I268" s="4"/>
      <c r="J268" s="11"/>
      <c r="K268" s="11"/>
      <c r="L268" s="2" t="s">
        <v>46</v>
      </c>
      <c r="M268" s="12">
        <v>0.4</v>
      </c>
      <c r="N268" s="2" t="s">
        <v>47</v>
      </c>
      <c r="O268" s="13" t="s">
        <v>48</v>
      </c>
      <c r="P268" s="10"/>
      <c r="Q268" s="12"/>
      <c r="R268" s="5"/>
    </row>
    <row r="269" spans="1:18" x14ac:dyDescent="0.25">
      <c r="A269" s="6" t="s">
        <v>44</v>
      </c>
      <c r="B269" s="7">
        <v>46238</v>
      </c>
      <c r="C269" s="6" t="s">
        <v>17</v>
      </c>
      <c r="D269" s="6" t="s">
        <v>54</v>
      </c>
      <c r="E269" s="8"/>
      <c r="F269" s="14">
        <v>100</v>
      </c>
      <c r="G269" s="14">
        <v>72</v>
      </c>
      <c r="H269" s="7">
        <v>48019</v>
      </c>
      <c r="I269" s="8"/>
      <c r="J269" s="15"/>
      <c r="K269" s="15"/>
      <c r="L269" s="6" t="s">
        <v>46</v>
      </c>
      <c r="M269" s="16">
        <v>0.4</v>
      </c>
      <c r="N269" s="6" t="s">
        <v>47</v>
      </c>
      <c r="O269" s="13" t="s">
        <v>48</v>
      </c>
      <c r="P269" s="14"/>
      <c r="Q269" s="16"/>
      <c r="R269" s="9"/>
    </row>
    <row r="270" spans="1:18" x14ac:dyDescent="0.25">
      <c r="A270" s="2" t="s">
        <v>44</v>
      </c>
      <c r="B270" s="3">
        <v>46238</v>
      </c>
      <c r="C270" s="2" t="s">
        <v>20</v>
      </c>
      <c r="D270" s="2" t="s">
        <v>50</v>
      </c>
      <c r="E270" s="4"/>
      <c r="F270" s="10">
        <v>100</v>
      </c>
      <c r="G270" s="10">
        <v>56.5</v>
      </c>
      <c r="H270" s="3">
        <v>48019</v>
      </c>
      <c r="I270" s="4"/>
      <c r="J270" s="11"/>
      <c r="K270" s="11"/>
      <c r="L270" s="2" t="s">
        <v>46</v>
      </c>
      <c r="M270" s="12">
        <v>0.4</v>
      </c>
      <c r="N270" s="2" t="s">
        <v>47</v>
      </c>
      <c r="O270" s="13" t="s">
        <v>48</v>
      </c>
      <c r="P270" s="10"/>
      <c r="Q270" s="12"/>
      <c r="R270" s="5"/>
    </row>
    <row r="271" spans="1:18" x14ac:dyDescent="0.25">
      <c r="A271" s="6" t="s">
        <v>44</v>
      </c>
      <c r="B271" s="7">
        <v>46238</v>
      </c>
      <c r="C271" s="6" t="s">
        <v>23</v>
      </c>
      <c r="D271" s="6" t="s">
        <v>51</v>
      </c>
      <c r="E271" s="8"/>
      <c r="F271" s="14">
        <v>100</v>
      </c>
      <c r="G271" s="14">
        <v>55.75</v>
      </c>
      <c r="H271" s="7">
        <v>48019</v>
      </c>
      <c r="I271" s="8"/>
      <c r="J271" s="15"/>
      <c r="K271" s="15"/>
      <c r="L271" s="6" t="s">
        <v>46</v>
      </c>
      <c r="M271" s="16">
        <v>0.4</v>
      </c>
      <c r="N271" s="6" t="s">
        <v>47</v>
      </c>
      <c r="O271" s="13" t="s">
        <v>48</v>
      </c>
      <c r="P271" s="14"/>
      <c r="Q271" s="16"/>
      <c r="R271" s="9"/>
    </row>
    <row r="272" spans="1:18" x14ac:dyDescent="0.25">
      <c r="A272" s="2" t="s">
        <v>44</v>
      </c>
      <c r="B272" s="3">
        <v>46238</v>
      </c>
      <c r="C272" s="2" t="s">
        <v>26</v>
      </c>
      <c r="D272" s="2" t="s">
        <v>52</v>
      </c>
      <c r="E272" s="4"/>
      <c r="F272" s="10">
        <v>100</v>
      </c>
      <c r="G272" s="10">
        <v>46.75</v>
      </c>
      <c r="H272" s="3">
        <v>48019</v>
      </c>
      <c r="I272" s="4"/>
      <c r="J272" s="11"/>
      <c r="K272" s="11"/>
      <c r="L272" s="2" t="s">
        <v>46</v>
      </c>
      <c r="M272" s="12">
        <v>0.4</v>
      </c>
      <c r="N272" s="2" t="s">
        <v>47</v>
      </c>
      <c r="O272" s="13" t="s">
        <v>48</v>
      </c>
      <c r="P272" s="10"/>
      <c r="Q272" s="12"/>
      <c r="R272" s="5"/>
    </row>
    <row r="273" spans="1:18" x14ac:dyDescent="0.25">
      <c r="A273" s="6" t="s">
        <v>44</v>
      </c>
      <c r="B273" s="7">
        <v>46238</v>
      </c>
      <c r="C273" s="6" t="s">
        <v>29</v>
      </c>
      <c r="D273" s="6" t="s">
        <v>53</v>
      </c>
      <c r="E273" s="8"/>
      <c r="F273" s="14">
        <v>100</v>
      </c>
      <c r="G273" s="14">
        <v>83.43</v>
      </c>
      <c r="H273" s="7">
        <v>48019</v>
      </c>
      <c r="I273" s="8"/>
      <c r="J273" s="15"/>
      <c r="K273" s="15"/>
      <c r="L273" s="6" t="s">
        <v>46</v>
      </c>
      <c r="M273" s="16">
        <v>0.4</v>
      </c>
      <c r="N273" s="6" t="s">
        <v>47</v>
      </c>
      <c r="O273" s="13" t="s">
        <v>48</v>
      </c>
      <c r="P273" s="14"/>
      <c r="Q273" s="16"/>
      <c r="R273" s="9"/>
    </row>
    <row r="274" spans="1:18" x14ac:dyDescent="0.25">
      <c r="A274" s="2" t="s">
        <v>44</v>
      </c>
      <c r="B274" s="3">
        <v>46239</v>
      </c>
      <c r="C274" s="2" t="s">
        <v>9</v>
      </c>
      <c r="D274" s="2" t="s">
        <v>45</v>
      </c>
      <c r="E274" s="4"/>
      <c r="F274" s="10">
        <v>100</v>
      </c>
      <c r="G274" s="10">
        <v>193</v>
      </c>
      <c r="H274" s="3">
        <v>48019</v>
      </c>
      <c r="I274" s="4"/>
      <c r="J274" s="11"/>
      <c r="K274" s="11"/>
      <c r="L274" s="2" t="s">
        <v>46</v>
      </c>
      <c r="M274" s="12">
        <v>0.4</v>
      </c>
      <c r="N274" s="2" t="s">
        <v>47</v>
      </c>
      <c r="O274" s="13" t="s">
        <v>48</v>
      </c>
      <c r="P274" s="10"/>
      <c r="Q274" s="12"/>
      <c r="R274" s="5"/>
    </row>
    <row r="275" spans="1:18" x14ac:dyDescent="0.25">
      <c r="A275" s="6" t="s">
        <v>44</v>
      </c>
      <c r="B275" s="7">
        <v>46239</v>
      </c>
      <c r="C275" s="6" t="s">
        <v>14</v>
      </c>
      <c r="D275" s="6" t="s">
        <v>49</v>
      </c>
      <c r="E275" s="8"/>
      <c r="F275" s="14">
        <v>500</v>
      </c>
      <c r="G275" s="14">
        <v>746.67</v>
      </c>
      <c r="H275" s="7">
        <v>48019</v>
      </c>
      <c r="I275" s="8"/>
      <c r="J275" s="15"/>
      <c r="K275" s="15"/>
      <c r="L275" s="6" t="s">
        <v>46</v>
      </c>
      <c r="M275" s="16">
        <v>0.4</v>
      </c>
      <c r="N275" s="6" t="s">
        <v>47</v>
      </c>
      <c r="O275" s="13" t="s">
        <v>48</v>
      </c>
      <c r="P275" s="14"/>
      <c r="Q275" s="16"/>
      <c r="R275" s="9"/>
    </row>
    <row r="276" spans="1:18" x14ac:dyDescent="0.25">
      <c r="A276" s="2" t="s">
        <v>44</v>
      </c>
      <c r="B276" s="3">
        <v>46239</v>
      </c>
      <c r="C276" s="2" t="s">
        <v>17</v>
      </c>
      <c r="D276" s="2" t="s">
        <v>54</v>
      </c>
      <c r="E276" s="4"/>
      <c r="F276" s="10">
        <v>100</v>
      </c>
      <c r="G276" s="10">
        <v>70</v>
      </c>
      <c r="H276" s="3">
        <v>48019</v>
      </c>
      <c r="I276" s="4"/>
      <c r="J276" s="11"/>
      <c r="K276" s="11"/>
      <c r="L276" s="2" t="s">
        <v>46</v>
      </c>
      <c r="M276" s="12">
        <v>0.4</v>
      </c>
      <c r="N276" s="2" t="s">
        <v>47</v>
      </c>
      <c r="O276" s="13" t="s">
        <v>48</v>
      </c>
      <c r="P276" s="10"/>
      <c r="Q276" s="12"/>
      <c r="R276" s="5"/>
    </row>
    <row r="277" spans="1:18" x14ac:dyDescent="0.25">
      <c r="A277" s="6" t="s">
        <v>44</v>
      </c>
      <c r="B277" s="7">
        <v>46239</v>
      </c>
      <c r="C277" s="6" t="s">
        <v>20</v>
      </c>
      <c r="D277" s="6" t="s">
        <v>50</v>
      </c>
      <c r="E277" s="8"/>
      <c r="F277" s="14">
        <v>100</v>
      </c>
      <c r="G277" s="14">
        <v>56</v>
      </c>
      <c r="H277" s="7">
        <v>48019</v>
      </c>
      <c r="I277" s="8"/>
      <c r="J277" s="15"/>
      <c r="K277" s="15"/>
      <c r="L277" s="6" t="s">
        <v>46</v>
      </c>
      <c r="M277" s="16">
        <v>0.4</v>
      </c>
      <c r="N277" s="6" t="s">
        <v>47</v>
      </c>
      <c r="O277" s="13" t="s">
        <v>48</v>
      </c>
      <c r="P277" s="14"/>
      <c r="Q277" s="16"/>
      <c r="R277" s="9"/>
    </row>
    <row r="278" spans="1:18" x14ac:dyDescent="0.25">
      <c r="A278" s="2" t="s">
        <v>44</v>
      </c>
      <c r="B278" s="3">
        <v>46239</v>
      </c>
      <c r="C278" s="2" t="s">
        <v>23</v>
      </c>
      <c r="D278" s="2" t="s">
        <v>51</v>
      </c>
      <c r="E278" s="4"/>
      <c r="F278" s="10">
        <v>100</v>
      </c>
      <c r="G278" s="10">
        <v>55.5</v>
      </c>
      <c r="H278" s="3">
        <v>48019</v>
      </c>
      <c r="I278" s="4"/>
      <c r="J278" s="11"/>
      <c r="K278" s="11"/>
      <c r="L278" s="2" t="s">
        <v>46</v>
      </c>
      <c r="M278" s="12">
        <v>0.4</v>
      </c>
      <c r="N278" s="2" t="s">
        <v>47</v>
      </c>
      <c r="O278" s="13" t="s">
        <v>48</v>
      </c>
      <c r="P278" s="10"/>
      <c r="Q278" s="12"/>
      <c r="R278" s="5"/>
    </row>
    <row r="279" spans="1:18" x14ac:dyDescent="0.25">
      <c r="A279" s="6" t="s">
        <v>44</v>
      </c>
      <c r="B279" s="7">
        <v>46239</v>
      </c>
      <c r="C279" s="6" t="s">
        <v>26</v>
      </c>
      <c r="D279" s="6" t="s">
        <v>52</v>
      </c>
      <c r="E279" s="8"/>
      <c r="F279" s="14">
        <v>100</v>
      </c>
      <c r="G279" s="14">
        <v>46.5</v>
      </c>
      <c r="H279" s="7">
        <v>48019</v>
      </c>
      <c r="I279" s="8"/>
      <c r="J279" s="15"/>
      <c r="K279" s="15"/>
      <c r="L279" s="6" t="s">
        <v>46</v>
      </c>
      <c r="M279" s="16">
        <v>0.4</v>
      </c>
      <c r="N279" s="6" t="s">
        <v>47</v>
      </c>
      <c r="O279" s="13" t="s">
        <v>48</v>
      </c>
      <c r="P279" s="14"/>
      <c r="Q279" s="16"/>
      <c r="R279" s="9"/>
    </row>
    <row r="280" spans="1:18" x14ac:dyDescent="0.25">
      <c r="A280" s="2" t="s">
        <v>44</v>
      </c>
      <c r="B280" s="3">
        <v>46239</v>
      </c>
      <c r="C280" s="2" t="s">
        <v>29</v>
      </c>
      <c r="D280" s="2" t="s">
        <v>53</v>
      </c>
      <c r="E280" s="4"/>
      <c r="F280" s="10">
        <v>100</v>
      </c>
      <c r="G280" s="10">
        <v>83.86</v>
      </c>
      <c r="H280" s="3">
        <v>48019</v>
      </c>
      <c r="I280" s="4"/>
      <c r="J280" s="11"/>
      <c r="K280" s="11"/>
      <c r="L280" s="2" t="s">
        <v>46</v>
      </c>
      <c r="M280" s="12">
        <v>0.4</v>
      </c>
      <c r="N280" s="2" t="s">
        <v>47</v>
      </c>
      <c r="O280" s="13" t="s">
        <v>48</v>
      </c>
      <c r="P280" s="10"/>
      <c r="Q280" s="12"/>
      <c r="R280" s="5"/>
    </row>
    <row r="281" spans="1:18" x14ac:dyDescent="0.25">
      <c r="A281" s="6" t="s">
        <v>44</v>
      </c>
      <c r="B281" s="7">
        <v>46240</v>
      </c>
      <c r="C281" s="6" t="s">
        <v>9</v>
      </c>
      <c r="D281" s="6" t="s">
        <v>45</v>
      </c>
      <c r="E281" s="8"/>
      <c r="F281" s="14">
        <v>100</v>
      </c>
      <c r="G281" s="14">
        <v>189</v>
      </c>
      <c r="H281" s="7">
        <v>48019</v>
      </c>
      <c r="I281" s="8"/>
      <c r="J281" s="15"/>
      <c r="K281" s="15"/>
      <c r="L281" s="6" t="s">
        <v>46</v>
      </c>
      <c r="M281" s="16">
        <v>0.4</v>
      </c>
      <c r="N281" s="6" t="s">
        <v>47</v>
      </c>
      <c r="O281" s="13" t="s">
        <v>48</v>
      </c>
      <c r="P281" s="14"/>
      <c r="Q281" s="16"/>
      <c r="R281" s="9"/>
    </row>
    <row r="282" spans="1:18" x14ac:dyDescent="0.25">
      <c r="A282" s="2" t="s">
        <v>44</v>
      </c>
      <c r="B282" s="3">
        <v>46240</v>
      </c>
      <c r="C282" s="2" t="s">
        <v>14</v>
      </c>
      <c r="D282" s="2" t="s">
        <v>49</v>
      </c>
      <c r="E282" s="4"/>
      <c r="F282" s="10">
        <v>500</v>
      </c>
      <c r="G282" s="10">
        <v>710</v>
      </c>
      <c r="H282" s="3">
        <v>48019</v>
      </c>
      <c r="I282" s="4"/>
      <c r="J282" s="11"/>
      <c r="K282" s="11"/>
      <c r="L282" s="2" t="s">
        <v>46</v>
      </c>
      <c r="M282" s="12">
        <v>0.4</v>
      </c>
      <c r="N282" s="2" t="s">
        <v>47</v>
      </c>
      <c r="O282" s="13" t="s">
        <v>48</v>
      </c>
      <c r="P282" s="10"/>
      <c r="Q282" s="12"/>
      <c r="R282" s="5"/>
    </row>
    <row r="283" spans="1:18" x14ac:dyDescent="0.25">
      <c r="A283" s="6" t="s">
        <v>44</v>
      </c>
      <c r="B283" s="7">
        <v>46240</v>
      </c>
      <c r="C283" s="6" t="s">
        <v>17</v>
      </c>
      <c r="D283" s="6" t="s">
        <v>54</v>
      </c>
      <c r="E283" s="8"/>
      <c r="F283" s="14">
        <v>100</v>
      </c>
      <c r="G283" s="14">
        <v>68</v>
      </c>
      <c r="H283" s="7">
        <v>48019</v>
      </c>
      <c r="I283" s="8"/>
      <c r="J283" s="15"/>
      <c r="K283" s="15"/>
      <c r="L283" s="6" t="s">
        <v>46</v>
      </c>
      <c r="M283" s="16">
        <v>0.4</v>
      </c>
      <c r="N283" s="6" t="s">
        <v>47</v>
      </c>
      <c r="O283" s="13" t="s">
        <v>48</v>
      </c>
      <c r="P283" s="14"/>
      <c r="Q283" s="16"/>
      <c r="R283" s="9"/>
    </row>
    <row r="284" spans="1:18" x14ac:dyDescent="0.25">
      <c r="A284" s="2" t="s">
        <v>44</v>
      </c>
      <c r="B284" s="3">
        <v>46240</v>
      </c>
      <c r="C284" s="2" t="s">
        <v>20</v>
      </c>
      <c r="D284" s="2" t="s">
        <v>50</v>
      </c>
      <c r="E284" s="4"/>
      <c r="F284" s="10">
        <v>100</v>
      </c>
      <c r="G284" s="10">
        <v>55.5</v>
      </c>
      <c r="H284" s="3">
        <v>48019</v>
      </c>
      <c r="I284" s="4"/>
      <c r="J284" s="11"/>
      <c r="K284" s="11"/>
      <c r="L284" s="2" t="s">
        <v>46</v>
      </c>
      <c r="M284" s="12">
        <v>0.4</v>
      </c>
      <c r="N284" s="2" t="s">
        <v>47</v>
      </c>
      <c r="O284" s="13" t="s">
        <v>48</v>
      </c>
      <c r="P284" s="10"/>
      <c r="Q284" s="12"/>
      <c r="R284" s="5"/>
    </row>
    <row r="285" spans="1:18" x14ac:dyDescent="0.25">
      <c r="A285" s="6" t="s">
        <v>44</v>
      </c>
      <c r="B285" s="7">
        <v>46240</v>
      </c>
      <c r="C285" s="6" t="s">
        <v>23</v>
      </c>
      <c r="D285" s="6" t="s">
        <v>51</v>
      </c>
      <c r="E285" s="8"/>
      <c r="F285" s="14">
        <v>100</v>
      </c>
      <c r="G285" s="14">
        <v>55.25</v>
      </c>
      <c r="H285" s="7">
        <v>48019</v>
      </c>
      <c r="I285" s="8"/>
      <c r="J285" s="15"/>
      <c r="K285" s="15"/>
      <c r="L285" s="6" t="s">
        <v>46</v>
      </c>
      <c r="M285" s="16">
        <v>0.4</v>
      </c>
      <c r="N285" s="6" t="s">
        <v>47</v>
      </c>
      <c r="O285" s="13" t="s">
        <v>48</v>
      </c>
      <c r="P285" s="14"/>
      <c r="Q285" s="16"/>
      <c r="R285" s="9"/>
    </row>
    <row r="286" spans="1:18" x14ac:dyDescent="0.25">
      <c r="A286" s="2" t="s">
        <v>44</v>
      </c>
      <c r="B286" s="3">
        <v>46240</v>
      </c>
      <c r="C286" s="2" t="s">
        <v>26</v>
      </c>
      <c r="D286" s="2" t="s">
        <v>52</v>
      </c>
      <c r="E286" s="4"/>
      <c r="F286" s="10">
        <v>100</v>
      </c>
      <c r="G286" s="10">
        <v>46.25</v>
      </c>
      <c r="H286" s="3">
        <v>48019</v>
      </c>
      <c r="I286" s="4"/>
      <c r="J286" s="11"/>
      <c r="K286" s="11"/>
      <c r="L286" s="2" t="s">
        <v>46</v>
      </c>
      <c r="M286" s="12">
        <v>0.4</v>
      </c>
      <c r="N286" s="2" t="s">
        <v>47</v>
      </c>
      <c r="O286" s="13" t="s">
        <v>48</v>
      </c>
      <c r="P286" s="10"/>
      <c r="Q286" s="12"/>
      <c r="R286" s="5"/>
    </row>
    <row r="287" spans="1:18" x14ac:dyDescent="0.25">
      <c r="A287" s="6" t="s">
        <v>44</v>
      </c>
      <c r="B287" s="7">
        <v>46240</v>
      </c>
      <c r="C287" s="6" t="s">
        <v>29</v>
      </c>
      <c r="D287" s="6" t="s">
        <v>53</v>
      </c>
      <c r="E287" s="8"/>
      <c r="F287" s="14">
        <v>100</v>
      </c>
      <c r="G287" s="14">
        <v>84.29</v>
      </c>
      <c r="H287" s="7">
        <v>48019</v>
      </c>
      <c r="I287" s="8"/>
      <c r="J287" s="15"/>
      <c r="K287" s="15"/>
      <c r="L287" s="6" t="s">
        <v>46</v>
      </c>
      <c r="M287" s="16">
        <v>0.4</v>
      </c>
      <c r="N287" s="6" t="s">
        <v>47</v>
      </c>
      <c r="O287" s="13" t="s">
        <v>48</v>
      </c>
      <c r="P287" s="14"/>
      <c r="Q287" s="16"/>
      <c r="R287" s="9"/>
    </row>
    <row r="288" spans="1:18" x14ac:dyDescent="0.25">
      <c r="A288" s="2" t="s">
        <v>44</v>
      </c>
      <c r="B288" s="3">
        <v>46241</v>
      </c>
      <c r="C288" s="2" t="s">
        <v>9</v>
      </c>
      <c r="D288" s="2" t="s">
        <v>45</v>
      </c>
      <c r="E288" s="4"/>
      <c r="F288" s="10">
        <v>100</v>
      </c>
      <c r="G288" s="10">
        <v>190.5</v>
      </c>
      <c r="H288" s="3">
        <v>48019</v>
      </c>
      <c r="I288" s="4"/>
      <c r="J288" s="11"/>
      <c r="K288" s="11"/>
      <c r="L288" s="2" t="s">
        <v>46</v>
      </c>
      <c r="M288" s="12">
        <v>0.4</v>
      </c>
      <c r="N288" s="2" t="s">
        <v>47</v>
      </c>
      <c r="O288" s="13" t="s">
        <v>48</v>
      </c>
      <c r="P288" s="10"/>
      <c r="Q288" s="12"/>
      <c r="R288" s="5"/>
    </row>
    <row r="289" spans="1:18" x14ac:dyDescent="0.25">
      <c r="A289" s="6" t="s">
        <v>44</v>
      </c>
      <c r="B289" s="7">
        <v>46241</v>
      </c>
      <c r="C289" s="6" t="s">
        <v>14</v>
      </c>
      <c r="D289" s="6" t="s">
        <v>49</v>
      </c>
      <c r="E289" s="8"/>
      <c r="F289" s="14">
        <v>500</v>
      </c>
      <c r="G289" s="14">
        <v>722.5</v>
      </c>
      <c r="H289" s="7">
        <v>48019</v>
      </c>
      <c r="I289" s="8"/>
      <c r="J289" s="15"/>
      <c r="K289" s="15"/>
      <c r="L289" s="6" t="s">
        <v>46</v>
      </c>
      <c r="M289" s="16">
        <v>0.4</v>
      </c>
      <c r="N289" s="6" t="s">
        <v>47</v>
      </c>
      <c r="O289" s="13" t="s">
        <v>48</v>
      </c>
      <c r="P289" s="14"/>
      <c r="Q289" s="16"/>
      <c r="R289" s="9"/>
    </row>
    <row r="290" spans="1:18" x14ac:dyDescent="0.25">
      <c r="A290" s="2" t="s">
        <v>44</v>
      </c>
      <c r="B290" s="3">
        <v>46241</v>
      </c>
      <c r="C290" s="2" t="s">
        <v>17</v>
      </c>
      <c r="D290" s="2" t="s">
        <v>54</v>
      </c>
      <c r="E290" s="4"/>
      <c r="F290" s="10">
        <v>100</v>
      </c>
      <c r="G290" s="10">
        <v>70</v>
      </c>
      <c r="H290" s="3">
        <v>48019</v>
      </c>
      <c r="I290" s="4"/>
      <c r="J290" s="11"/>
      <c r="K290" s="11"/>
      <c r="L290" s="2" t="s">
        <v>46</v>
      </c>
      <c r="M290" s="12">
        <v>0.4</v>
      </c>
      <c r="N290" s="2" t="s">
        <v>47</v>
      </c>
      <c r="O290" s="13" t="s">
        <v>48</v>
      </c>
      <c r="P290" s="10"/>
      <c r="Q290" s="12"/>
      <c r="R290" s="5"/>
    </row>
    <row r="291" spans="1:18" x14ac:dyDescent="0.25">
      <c r="A291" s="6" t="s">
        <v>44</v>
      </c>
      <c r="B291" s="7">
        <v>46241</v>
      </c>
      <c r="C291" s="6" t="s">
        <v>20</v>
      </c>
      <c r="D291" s="6" t="s">
        <v>50</v>
      </c>
      <c r="E291" s="8"/>
      <c r="F291" s="14">
        <v>100</v>
      </c>
      <c r="G291" s="14">
        <v>55</v>
      </c>
      <c r="H291" s="7">
        <v>48019</v>
      </c>
      <c r="I291" s="8"/>
      <c r="J291" s="15"/>
      <c r="K291" s="15"/>
      <c r="L291" s="6" t="s">
        <v>46</v>
      </c>
      <c r="M291" s="16">
        <v>0.4</v>
      </c>
      <c r="N291" s="6" t="s">
        <v>47</v>
      </c>
      <c r="O291" s="13" t="s">
        <v>48</v>
      </c>
      <c r="P291" s="14"/>
      <c r="Q291" s="16"/>
      <c r="R291" s="9"/>
    </row>
    <row r="292" spans="1:18" x14ac:dyDescent="0.25">
      <c r="A292" s="2" t="s">
        <v>44</v>
      </c>
      <c r="B292" s="3">
        <v>46241</v>
      </c>
      <c r="C292" s="2" t="s">
        <v>23</v>
      </c>
      <c r="D292" s="2" t="s">
        <v>51</v>
      </c>
      <c r="E292" s="4"/>
      <c r="F292" s="10">
        <v>100</v>
      </c>
      <c r="G292" s="10">
        <v>55</v>
      </c>
      <c r="H292" s="3">
        <v>48019</v>
      </c>
      <c r="I292" s="4"/>
      <c r="J292" s="11"/>
      <c r="K292" s="11"/>
      <c r="L292" s="2" t="s">
        <v>46</v>
      </c>
      <c r="M292" s="12">
        <v>0.4</v>
      </c>
      <c r="N292" s="2" t="s">
        <v>47</v>
      </c>
      <c r="O292" s="13" t="s">
        <v>48</v>
      </c>
      <c r="P292" s="10"/>
      <c r="Q292" s="12"/>
      <c r="R292" s="5"/>
    </row>
    <row r="293" spans="1:18" x14ac:dyDescent="0.25">
      <c r="A293" s="6" t="s">
        <v>44</v>
      </c>
      <c r="B293" s="7">
        <v>46241</v>
      </c>
      <c r="C293" s="6" t="s">
        <v>26</v>
      </c>
      <c r="D293" s="6" t="s">
        <v>52</v>
      </c>
      <c r="E293" s="8"/>
      <c r="F293" s="14">
        <v>100</v>
      </c>
      <c r="G293" s="14">
        <v>46</v>
      </c>
      <c r="H293" s="7">
        <v>48019</v>
      </c>
      <c r="I293" s="8"/>
      <c r="J293" s="15"/>
      <c r="K293" s="15"/>
      <c r="L293" s="6" t="s">
        <v>46</v>
      </c>
      <c r="M293" s="16">
        <v>0.4</v>
      </c>
      <c r="N293" s="6" t="s">
        <v>47</v>
      </c>
      <c r="O293" s="13" t="s">
        <v>48</v>
      </c>
      <c r="P293" s="14"/>
      <c r="Q293" s="16"/>
      <c r="R293" s="9"/>
    </row>
    <row r="294" spans="1:18" x14ac:dyDescent="0.25">
      <c r="A294" s="2" t="s">
        <v>44</v>
      </c>
      <c r="B294" s="3">
        <v>46241</v>
      </c>
      <c r="C294" s="2" t="s">
        <v>29</v>
      </c>
      <c r="D294" s="2" t="s">
        <v>53</v>
      </c>
      <c r="E294" s="4"/>
      <c r="F294" s="10">
        <v>100</v>
      </c>
      <c r="G294" s="10">
        <v>84.71</v>
      </c>
      <c r="H294" s="3">
        <v>48019</v>
      </c>
      <c r="I294" s="4"/>
      <c r="J294" s="11"/>
      <c r="K294" s="11"/>
      <c r="L294" s="2" t="s">
        <v>46</v>
      </c>
      <c r="M294" s="12">
        <v>0.4</v>
      </c>
      <c r="N294" s="2" t="s">
        <v>47</v>
      </c>
      <c r="O294" s="13" t="s">
        <v>48</v>
      </c>
      <c r="P294" s="10"/>
      <c r="Q294" s="12"/>
      <c r="R294" s="5"/>
    </row>
    <row r="295" spans="1:18" x14ac:dyDescent="0.25">
      <c r="A295" s="6" t="s">
        <v>44</v>
      </c>
      <c r="B295" s="7">
        <v>46244</v>
      </c>
      <c r="C295" s="6" t="s">
        <v>9</v>
      </c>
      <c r="D295" s="6" t="s">
        <v>45</v>
      </c>
      <c r="E295" s="8"/>
      <c r="F295" s="14">
        <v>100</v>
      </c>
      <c r="G295" s="14">
        <v>195</v>
      </c>
      <c r="H295" s="7">
        <v>48019</v>
      </c>
      <c r="I295" s="8"/>
      <c r="J295" s="15"/>
      <c r="K295" s="15"/>
      <c r="L295" s="6" t="s">
        <v>46</v>
      </c>
      <c r="M295" s="16">
        <v>0.4</v>
      </c>
      <c r="N295" s="6" t="s">
        <v>47</v>
      </c>
      <c r="O295" s="13" t="s">
        <v>48</v>
      </c>
      <c r="P295" s="14"/>
      <c r="Q295" s="16"/>
      <c r="R295" s="9"/>
    </row>
    <row r="296" spans="1:18" x14ac:dyDescent="0.25">
      <c r="A296" s="2" t="s">
        <v>44</v>
      </c>
      <c r="B296" s="3">
        <v>46244</v>
      </c>
      <c r="C296" s="2" t="s">
        <v>14</v>
      </c>
      <c r="D296" s="2" t="s">
        <v>49</v>
      </c>
      <c r="E296" s="4"/>
      <c r="F296" s="10">
        <v>500</v>
      </c>
      <c r="G296" s="10">
        <v>760</v>
      </c>
      <c r="H296" s="3">
        <v>48019</v>
      </c>
      <c r="I296" s="4"/>
      <c r="J296" s="11"/>
      <c r="K296" s="11"/>
      <c r="L296" s="2" t="s">
        <v>46</v>
      </c>
      <c r="M296" s="12">
        <v>0.4</v>
      </c>
      <c r="N296" s="2" t="s">
        <v>47</v>
      </c>
      <c r="O296" s="13" t="s">
        <v>48</v>
      </c>
      <c r="P296" s="10"/>
      <c r="Q296" s="12"/>
      <c r="R296" s="5"/>
    </row>
    <row r="297" spans="1:18" x14ac:dyDescent="0.25">
      <c r="A297" s="6" t="s">
        <v>44</v>
      </c>
      <c r="B297" s="7">
        <v>46244</v>
      </c>
      <c r="C297" s="6" t="s">
        <v>17</v>
      </c>
      <c r="D297" s="6" t="s">
        <v>54</v>
      </c>
      <c r="E297" s="8"/>
      <c r="F297" s="14">
        <v>100</v>
      </c>
      <c r="G297" s="14">
        <v>76</v>
      </c>
      <c r="H297" s="7">
        <v>48019</v>
      </c>
      <c r="I297" s="8"/>
      <c r="J297" s="15"/>
      <c r="K297" s="15"/>
      <c r="L297" s="6" t="s">
        <v>46</v>
      </c>
      <c r="M297" s="16">
        <v>0.4</v>
      </c>
      <c r="N297" s="6" t="s">
        <v>47</v>
      </c>
      <c r="O297" s="13" t="s">
        <v>48</v>
      </c>
      <c r="P297" s="14"/>
      <c r="Q297" s="16"/>
      <c r="R297" s="9"/>
    </row>
    <row r="298" spans="1:18" x14ac:dyDescent="0.25">
      <c r="A298" s="2" t="s">
        <v>44</v>
      </c>
      <c r="B298" s="3">
        <v>46244</v>
      </c>
      <c r="C298" s="2" t="s">
        <v>20</v>
      </c>
      <c r="D298" s="2" t="s">
        <v>50</v>
      </c>
      <c r="E298" s="4"/>
      <c r="F298" s="10">
        <v>100</v>
      </c>
      <c r="G298" s="10">
        <v>57</v>
      </c>
      <c r="H298" s="3">
        <v>48019</v>
      </c>
      <c r="I298" s="4"/>
      <c r="J298" s="11"/>
      <c r="K298" s="11"/>
      <c r="L298" s="2" t="s">
        <v>46</v>
      </c>
      <c r="M298" s="12">
        <v>0.4</v>
      </c>
      <c r="N298" s="2" t="s">
        <v>47</v>
      </c>
      <c r="O298" s="13" t="s">
        <v>48</v>
      </c>
      <c r="P298" s="10"/>
      <c r="Q298" s="12"/>
      <c r="R298" s="5"/>
    </row>
    <row r="299" spans="1:18" x14ac:dyDescent="0.25">
      <c r="A299" s="6" t="s">
        <v>44</v>
      </c>
      <c r="B299" s="7">
        <v>46244</v>
      </c>
      <c r="C299" s="6" t="s">
        <v>23</v>
      </c>
      <c r="D299" s="6" t="s">
        <v>51</v>
      </c>
      <c r="E299" s="8"/>
      <c r="F299" s="14">
        <v>100</v>
      </c>
      <c r="G299" s="14">
        <v>53</v>
      </c>
      <c r="H299" s="7">
        <v>48019</v>
      </c>
      <c r="I299" s="8"/>
      <c r="J299" s="15"/>
      <c r="K299" s="15"/>
      <c r="L299" s="6" t="s">
        <v>46</v>
      </c>
      <c r="M299" s="16">
        <v>0.4</v>
      </c>
      <c r="N299" s="6" t="s">
        <v>47</v>
      </c>
      <c r="O299" s="13" t="s">
        <v>48</v>
      </c>
      <c r="P299" s="14"/>
      <c r="Q299" s="16"/>
      <c r="R299" s="9"/>
    </row>
    <row r="300" spans="1:18" x14ac:dyDescent="0.25">
      <c r="A300" s="2" t="s">
        <v>44</v>
      </c>
      <c r="B300" s="3">
        <v>46244</v>
      </c>
      <c r="C300" s="2" t="s">
        <v>26</v>
      </c>
      <c r="D300" s="2" t="s">
        <v>52</v>
      </c>
      <c r="E300" s="4"/>
      <c r="F300" s="10">
        <v>100</v>
      </c>
      <c r="G300" s="10">
        <v>43.5</v>
      </c>
      <c r="H300" s="3">
        <v>48019</v>
      </c>
      <c r="I300" s="4"/>
      <c r="J300" s="11"/>
      <c r="K300" s="11"/>
      <c r="L300" s="2" t="s">
        <v>46</v>
      </c>
      <c r="M300" s="12">
        <v>0.4</v>
      </c>
      <c r="N300" s="2" t="s">
        <v>47</v>
      </c>
      <c r="O300" s="13" t="s">
        <v>48</v>
      </c>
      <c r="P300" s="10"/>
      <c r="Q300" s="12"/>
      <c r="R300" s="5"/>
    </row>
    <row r="301" spans="1:18" x14ac:dyDescent="0.25">
      <c r="A301" s="6" t="s">
        <v>44</v>
      </c>
      <c r="B301" s="7">
        <v>46244</v>
      </c>
      <c r="C301" s="6" t="s">
        <v>29</v>
      </c>
      <c r="D301" s="6" t="s">
        <v>53</v>
      </c>
      <c r="E301" s="8"/>
      <c r="F301" s="14">
        <v>100</v>
      </c>
      <c r="G301" s="14">
        <v>86</v>
      </c>
      <c r="H301" s="7">
        <v>48019</v>
      </c>
      <c r="I301" s="8"/>
      <c r="J301" s="15"/>
      <c r="K301" s="15"/>
      <c r="L301" s="6" t="s">
        <v>46</v>
      </c>
      <c r="M301" s="16">
        <v>0.4</v>
      </c>
      <c r="N301" s="6" t="s">
        <v>47</v>
      </c>
      <c r="O301" s="13" t="s">
        <v>48</v>
      </c>
      <c r="P301" s="14"/>
      <c r="Q301" s="16"/>
      <c r="R301" s="9"/>
    </row>
    <row r="302" spans="1:18" x14ac:dyDescent="0.25">
      <c r="A302" s="2" t="s">
        <v>44</v>
      </c>
      <c r="B302" s="3">
        <v>46245</v>
      </c>
      <c r="C302" s="2" t="s">
        <v>9</v>
      </c>
      <c r="D302" s="2" t="s">
        <v>45</v>
      </c>
      <c r="E302" s="4"/>
      <c r="F302" s="10">
        <v>100</v>
      </c>
      <c r="G302" s="10">
        <v>196.33</v>
      </c>
      <c r="H302" s="3">
        <v>48019</v>
      </c>
      <c r="I302" s="4"/>
      <c r="J302" s="11"/>
      <c r="K302" s="11"/>
      <c r="L302" s="2" t="s">
        <v>46</v>
      </c>
      <c r="M302" s="12">
        <v>0.4</v>
      </c>
      <c r="N302" s="2" t="s">
        <v>47</v>
      </c>
      <c r="O302" s="13" t="s">
        <v>48</v>
      </c>
      <c r="P302" s="10"/>
      <c r="Q302" s="12"/>
      <c r="R302" s="5"/>
    </row>
    <row r="303" spans="1:18" x14ac:dyDescent="0.25">
      <c r="A303" s="6" t="s">
        <v>44</v>
      </c>
      <c r="B303" s="7">
        <v>46245</v>
      </c>
      <c r="C303" s="6" t="s">
        <v>14</v>
      </c>
      <c r="D303" s="6" t="s">
        <v>49</v>
      </c>
      <c r="E303" s="8"/>
      <c r="F303" s="14">
        <v>500</v>
      </c>
      <c r="G303" s="14">
        <v>755</v>
      </c>
      <c r="H303" s="7">
        <v>48019</v>
      </c>
      <c r="I303" s="8"/>
      <c r="J303" s="15"/>
      <c r="K303" s="15"/>
      <c r="L303" s="6" t="s">
        <v>46</v>
      </c>
      <c r="M303" s="16">
        <v>0.4</v>
      </c>
      <c r="N303" s="6" t="s">
        <v>47</v>
      </c>
      <c r="O303" s="13" t="s">
        <v>48</v>
      </c>
      <c r="P303" s="14"/>
      <c r="Q303" s="16"/>
      <c r="R303" s="9"/>
    </row>
    <row r="304" spans="1:18" x14ac:dyDescent="0.25">
      <c r="A304" s="2" t="s">
        <v>44</v>
      </c>
      <c r="B304" s="3">
        <v>46245</v>
      </c>
      <c r="C304" s="2" t="s">
        <v>17</v>
      </c>
      <c r="D304" s="2" t="s">
        <v>54</v>
      </c>
      <c r="E304" s="4"/>
      <c r="F304" s="10">
        <v>100</v>
      </c>
      <c r="G304" s="10">
        <v>74.67</v>
      </c>
      <c r="H304" s="3">
        <v>48019</v>
      </c>
      <c r="I304" s="4"/>
      <c r="J304" s="11"/>
      <c r="K304" s="11"/>
      <c r="L304" s="2" t="s">
        <v>46</v>
      </c>
      <c r="M304" s="12">
        <v>0.4</v>
      </c>
      <c r="N304" s="2" t="s">
        <v>47</v>
      </c>
      <c r="O304" s="13" t="s">
        <v>48</v>
      </c>
      <c r="P304" s="10"/>
      <c r="Q304" s="12"/>
      <c r="R304" s="5"/>
    </row>
    <row r="305" spans="1:18" x14ac:dyDescent="0.25">
      <c r="A305" s="6" t="s">
        <v>44</v>
      </c>
      <c r="B305" s="7">
        <v>46245</v>
      </c>
      <c r="C305" s="6" t="s">
        <v>20</v>
      </c>
      <c r="D305" s="6" t="s">
        <v>50</v>
      </c>
      <c r="E305" s="8"/>
      <c r="F305" s="14">
        <v>100</v>
      </c>
      <c r="G305" s="14">
        <v>56</v>
      </c>
      <c r="H305" s="7">
        <v>48019</v>
      </c>
      <c r="I305" s="8"/>
      <c r="J305" s="15"/>
      <c r="K305" s="15"/>
      <c r="L305" s="6" t="s">
        <v>46</v>
      </c>
      <c r="M305" s="16">
        <v>0.4</v>
      </c>
      <c r="N305" s="6" t="s">
        <v>47</v>
      </c>
      <c r="O305" s="13" t="s">
        <v>48</v>
      </c>
      <c r="P305" s="14"/>
      <c r="Q305" s="16"/>
      <c r="R305" s="9"/>
    </row>
    <row r="306" spans="1:18" x14ac:dyDescent="0.25">
      <c r="A306" s="2" t="s">
        <v>44</v>
      </c>
      <c r="B306" s="3">
        <v>46245</v>
      </c>
      <c r="C306" s="2" t="s">
        <v>23</v>
      </c>
      <c r="D306" s="2" t="s">
        <v>51</v>
      </c>
      <c r="E306" s="4"/>
      <c r="F306" s="10">
        <v>100</v>
      </c>
      <c r="G306" s="10">
        <v>52.33</v>
      </c>
      <c r="H306" s="3">
        <v>48019</v>
      </c>
      <c r="I306" s="4"/>
      <c r="J306" s="11"/>
      <c r="K306" s="11"/>
      <c r="L306" s="2" t="s">
        <v>46</v>
      </c>
      <c r="M306" s="12">
        <v>0.4</v>
      </c>
      <c r="N306" s="2" t="s">
        <v>47</v>
      </c>
      <c r="O306" s="13" t="s">
        <v>48</v>
      </c>
      <c r="P306" s="10"/>
      <c r="Q306" s="12"/>
      <c r="R306" s="5"/>
    </row>
    <row r="307" spans="1:18" x14ac:dyDescent="0.25">
      <c r="A307" s="6" t="s">
        <v>44</v>
      </c>
      <c r="B307" s="7">
        <v>46245</v>
      </c>
      <c r="C307" s="6" t="s">
        <v>26</v>
      </c>
      <c r="D307" s="6" t="s">
        <v>52</v>
      </c>
      <c r="E307" s="8"/>
      <c r="F307" s="14">
        <v>100</v>
      </c>
      <c r="G307" s="14">
        <v>42.67</v>
      </c>
      <c r="H307" s="7">
        <v>48019</v>
      </c>
      <c r="I307" s="8"/>
      <c r="J307" s="15"/>
      <c r="K307" s="15"/>
      <c r="L307" s="6" t="s">
        <v>46</v>
      </c>
      <c r="M307" s="16">
        <v>0.4</v>
      </c>
      <c r="N307" s="6" t="s">
        <v>47</v>
      </c>
      <c r="O307" s="13" t="s">
        <v>48</v>
      </c>
      <c r="P307" s="14"/>
      <c r="Q307" s="16"/>
      <c r="R307" s="9"/>
    </row>
    <row r="308" spans="1:18" x14ac:dyDescent="0.25">
      <c r="A308" s="2" t="s">
        <v>44</v>
      </c>
      <c r="B308" s="3">
        <v>46245</v>
      </c>
      <c r="C308" s="2" t="s">
        <v>29</v>
      </c>
      <c r="D308" s="2" t="s">
        <v>53</v>
      </c>
      <c r="E308" s="4"/>
      <c r="F308" s="10">
        <v>100</v>
      </c>
      <c r="G308" s="10">
        <v>84.5</v>
      </c>
      <c r="H308" s="3">
        <v>48019</v>
      </c>
      <c r="I308" s="4"/>
      <c r="J308" s="11"/>
      <c r="K308" s="11"/>
      <c r="L308" s="2" t="s">
        <v>46</v>
      </c>
      <c r="M308" s="12">
        <v>0.4</v>
      </c>
      <c r="N308" s="2" t="s">
        <v>47</v>
      </c>
      <c r="O308" s="13" t="s">
        <v>48</v>
      </c>
      <c r="P308" s="10"/>
      <c r="Q308" s="12"/>
      <c r="R308" s="5"/>
    </row>
    <row r="309" spans="1:18" x14ac:dyDescent="0.25">
      <c r="A309" s="6" t="s">
        <v>44</v>
      </c>
      <c r="B309" s="7">
        <v>46246</v>
      </c>
      <c r="C309" s="6" t="s">
        <v>9</v>
      </c>
      <c r="D309" s="6" t="s">
        <v>45</v>
      </c>
      <c r="E309" s="8"/>
      <c r="F309" s="14">
        <v>100</v>
      </c>
      <c r="G309" s="14">
        <v>197.67</v>
      </c>
      <c r="H309" s="7">
        <v>48019</v>
      </c>
      <c r="I309" s="8"/>
      <c r="J309" s="15"/>
      <c r="K309" s="15"/>
      <c r="L309" s="6" t="s">
        <v>46</v>
      </c>
      <c r="M309" s="16">
        <v>0.4</v>
      </c>
      <c r="N309" s="6" t="s">
        <v>47</v>
      </c>
      <c r="O309" s="13" t="s">
        <v>48</v>
      </c>
      <c r="P309" s="14"/>
      <c r="Q309" s="16"/>
      <c r="R309" s="9"/>
    </row>
    <row r="310" spans="1:18" x14ac:dyDescent="0.25">
      <c r="A310" s="2" t="s">
        <v>44</v>
      </c>
      <c r="B310" s="3">
        <v>46246</v>
      </c>
      <c r="C310" s="2" t="s">
        <v>14</v>
      </c>
      <c r="D310" s="2" t="s">
        <v>49</v>
      </c>
      <c r="E310" s="4"/>
      <c r="F310" s="10">
        <v>500</v>
      </c>
      <c r="G310" s="10">
        <v>750</v>
      </c>
      <c r="H310" s="3">
        <v>48019</v>
      </c>
      <c r="I310" s="4"/>
      <c r="J310" s="11"/>
      <c r="K310" s="11"/>
      <c r="L310" s="2" t="s">
        <v>46</v>
      </c>
      <c r="M310" s="12">
        <v>0.4</v>
      </c>
      <c r="N310" s="2" t="s">
        <v>47</v>
      </c>
      <c r="O310" s="13" t="s">
        <v>48</v>
      </c>
      <c r="P310" s="10"/>
      <c r="Q310" s="12"/>
      <c r="R310" s="5"/>
    </row>
    <row r="311" spans="1:18" x14ac:dyDescent="0.25">
      <c r="A311" s="6" t="s">
        <v>44</v>
      </c>
      <c r="B311" s="7">
        <v>46246</v>
      </c>
      <c r="C311" s="6" t="s">
        <v>17</v>
      </c>
      <c r="D311" s="6" t="s">
        <v>54</v>
      </c>
      <c r="E311" s="8"/>
      <c r="F311" s="14">
        <v>100</v>
      </c>
      <c r="G311" s="14">
        <v>73.33</v>
      </c>
      <c r="H311" s="7">
        <v>48019</v>
      </c>
      <c r="I311" s="8"/>
      <c r="J311" s="15"/>
      <c r="K311" s="15"/>
      <c r="L311" s="6" t="s">
        <v>46</v>
      </c>
      <c r="M311" s="16">
        <v>0.4</v>
      </c>
      <c r="N311" s="6" t="s">
        <v>47</v>
      </c>
      <c r="O311" s="13" t="s">
        <v>48</v>
      </c>
      <c r="P311" s="14"/>
      <c r="Q311" s="16"/>
      <c r="R311" s="9"/>
    </row>
    <row r="312" spans="1:18" x14ac:dyDescent="0.25">
      <c r="A312" s="2" t="s">
        <v>44</v>
      </c>
      <c r="B312" s="3">
        <v>46246</v>
      </c>
      <c r="C312" s="2" t="s">
        <v>20</v>
      </c>
      <c r="D312" s="2" t="s">
        <v>50</v>
      </c>
      <c r="E312" s="4"/>
      <c r="F312" s="10">
        <v>100</v>
      </c>
      <c r="G312" s="10">
        <v>55</v>
      </c>
      <c r="H312" s="3">
        <v>48019</v>
      </c>
      <c r="I312" s="4"/>
      <c r="J312" s="11"/>
      <c r="K312" s="11"/>
      <c r="L312" s="2" t="s">
        <v>46</v>
      </c>
      <c r="M312" s="12">
        <v>0.4</v>
      </c>
      <c r="N312" s="2" t="s">
        <v>47</v>
      </c>
      <c r="O312" s="13" t="s">
        <v>48</v>
      </c>
      <c r="P312" s="10"/>
      <c r="Q312" s="12"/>
      <c r="R312" s="5"/>
    </row>
    <row r="313" spans="1:18" x14ac:dyDescent="0.25">
      <c r="A313" s="6" t="s">
        <v>44</v>
      </c>
      <c r="B313" s="7">
        <v>46246</v>
      </c>
      <c r="C313" s="6" t="s">
        <v>23</v>
      </c>
      <c r="D313" s="6" t="s">
        <v>51</v>
      </c>
      <c r="E313" s="8"/>
      <c r="F313" s="14">
        <v>100</v>
      </c>
      <c r="G313" s="14">
        <v>51.67</v>
      </c>
      <c r="H313" s="7">
        <v>48019</v>
      </c>
      <c r="I313" s="8"/>
      <c r="J313" s="15"/>
      <c r="K313" s="15"/>
      <c r="L313" s="6" t="s">
        <v>46</v>
      </c>
      <c r="M313" s="16">
        <v>0.4</v>
      </c>
      <c r="N313" s="6" t="s">
        <v>47</v>
      </c>
      <c r="O313" s="13" t="s">
        <v>48</v>
      </c>
      <c r="P313" s="14"/>
      <c r="Q313" s="16"/>
      <c r="R313" s="9"/>
    </row>
    <row r="314" spans="1:18" x14ac:dyDescent="0.25">
      <c r="A314" s="2" t="s">
        <v>44</v>
      </c>
      <c r="B314" s="3">
        <v>46246</v>
      </c>
      <c r="C314" s="2" t="s">
        <v>26</v>
      </c>
      <c r="D314" s="2" t="s">
        <v>52</v>
      </c>
      <c r="E314" s="4"/>
      <c r="F314" s="10">
        <v>100</v>
      </c>
      <c r="G314" s="10">
        <v>41.83</v>
      </c>
      <c r="H314" s="3">
        <v>48019</v>
      </c>
      <c r="I314" s="4"/>
      <c r="J314" s="11"/>
      <c r="K314" s="11"/>
      <c r="L314" s="2" t="s">
        <v>46</v>
      </c>
      <c r="M314" s="12">
        <v>0.4</v>
      </c>
      <c r="N314" s="2" t="s">
        <v>47</v>
      </c>
      <c r="O314" s="13" t="s">
        <v>48</v>
      </c>
      <c r="P314" s="10"/>
      <c r="Q314" s="12"/>
      <c r="R314" s="5"/>
    </row>
    <row r="315" spans="1:18" x14ac:dyDescent="0.25">
      <c r="A315" s="6" t="s">
        <v>44</v>
      </c>
      <c r="B315" s="7">
        <v>46246</v>
      </c>
      <c r="C315" s="6" t="s">
        <v>29</v>
      </c>
      <c r="D315" s="6" t="s">
        <v>53</v>
      </c>
      <c r="E315" s="8"/>
      <c r="F315" s="14">
        <v>100</v>
      </c>
      <c r="G315" s="14">
        <v>83</v>
      </c>
      <c r="H315" s="7">
        <v>48019</v>
      </c>
      <c r="I315" s="8"/>
      <c r="J315" s="15"/>
      <c r="K315" s="15"/>
      <c r="L315" s="6" t="s">
        <v>46</v>
      </c>
      <c r="M315" s="16">
        <v>0.4</v>
      </c>
      <c r="N315" s="6" t="s">
        <v>47</v>
      </c>
      <c r="O315" s="13" t="s">
        <v>48</v>
      </c>
      <c r="P315" s="14"/>
      <c r="Q315" s="16"/>
      <c r="R315" s="9"/>
    </row>
    <row r="316" spans="1:18" x14ac:dyDescent="0.25">
      <c r="A316" s="2" t="s">
        <v>44</v>
      </c>
      <c r="B316" s="3">
        <v>46247</v>
      </c>
      <c r="C316" s="2" t="s">
        <v>9</v>
      </c>
      <c r="D316" s="2" t="s">
        <v>45</v>
      </c>
      <c r="E316" s="4"/>
      <c r="F316" s="10">
        <v>100</v>
      </c>
      <c r="G316" s="10">
        <v>199</v>
      </c>
      <c r="H316" s="3">
        <v>48019</v>
      </c>
      <c r="I316" s="4"/>
      <c r="J316" s="11"/>
      <c r="K316" s="11"/>
      <c r="L316" s="2" t="s">
        <v>46</v>
      </c>
      <c r="M316" s="12">
        <v>0.4</v>
      </c>
      <c r="N316" s="2" t="s">
        <v>47</v>
      </c>
      <c r="O316" s="13" t="s">
        <v>48</v>
      </c>
      <c r="P316" s="10"/>
      <c r="Q316" s="12"/>
      <c r="R316" s="5"/>
    </row>
    <row r="317" spans="1:18" x14ac:dyDescent="0.25">
      <c r="A317" s="6" t="s">
        <v>44</v>
      </c>
      <c r="B317" s="7">
        <v>46247</v>
      </c>
      <c r="C317" s="6" t="s">
        <v>14</v>
      </c>
      <c r="D317" s="6" t="s">
        <v>49</v>
      </c>
      <c r="E317" s="8"/>
      <c r="F317" s="14">
        <v>500</v>
      </c>
      <c r="G317" s="14">
        <v>745</v>
      </c>
      <c r="H317" s="7">
        <v>48019</v>
      </c>
      <c r="I317" s="8"/>
      <c r="J317" s="15"/>
      <c r="K317" s="15"/>
      <c r="L317" s="6" t="s">
        <v>46</v>
      </c>
      <c r="M317" s="16">
        <v>0.4</v>
      </c>
      <c r="N317" s="6" t="s">
        <v>47</v>
      </c>
      <c r="O317" s="13" t="s">
        <v>48</v>
      </c>
      <c r="P317" s="14"/>
      <c r="Q317" s="16"/>
      <c r="R317" s="9"/>
    </row>
    <row r="318" spans="1:18" x14ac:dyDescent="0.25">
      <c r="A318" s="2" t="s">
        <v>44</v>
      </c>
      <c r="B318" s="3">
        <v>46247</v>
      </c>
      <c r="C318" s="2" t="s">
        <v>17</v>
      </c>
      <c r="D318" s="2" t="s">
        <v>54</v>
      </c>
      <c r="E318" s="4"/>
      <c r="F318" s="10">
        <v>100</v>
      </c>
      <c r="G318" s="10">
        <v>72</v>
      </c>
      <c r="H318" s="3">
        <v>48019</v>
      </c>
      <c r="I318" s="4"/>
      <c r="J318" s="11"/>
      <c r="K318" s="11"/>
      <c r="L318" s="2" t="s">
        <v>46</v>
      </c>
      <c r="M318" s="12">
        <v>0.4</v>
      </c>
      <c r="N318" s="2" t="s">
        <v>47</v>
      </c>
      <c r="O318" s="13" t="s">
        <v>48</v>
      </c>
      <c r="P318" s="10"/>
      <c r="Q318" s="12"/>
      <c r="R318" s="5"/>
    </row>
    <row r="319" spans="1:18" x14ac:dyDescent="0.25">
      <c r="A319" s="6" t="s">
        <v>44</v>
      </c>
      <c r="B319" s="7">
        <v>46247</v>
      </c>
      <c r="C319" s="6" t="s">
        <v>20</v>
      </c>
      <c r="D319" s="6" t="s">
        <v>50</v>
      </c>
      <c r="E319" s="8"/>
      <c r="F319" s="14">
        <v>100</v>
      </c>
      <c r="G319" s="14">
        <v>54</v>
      </c>
      <c r="H319" s="7">
        <v>48019</v>
      </c>
      <c r="I319" s="8"/>
      <c r="J319" s="15"/>
      <c r="K319" s="15"/>
      <c r="L319" s="6" t="s">
        <v>46</v>
      </c>
      <c r="M319" s="16">
        <v>0.4</v>
      </c>
      <c r="N319" s="6" t="s">
        <v>47</v>
      </c>
      <c r="O319" s="13" t="s">
        <v>48</v>
      </c>
      <c r="P319" s="14"/>
      <c r="Q319" s="16"/>
      <c r="R319" s="9"/>
    </row>
    <row r="320" spans="1:18" x14ac:dyDescent="0.25">
      <c r="A320" s="2" t="s">
        <v>44</v>
      </c>
      <c r="B320" s="3">
        <v>46247</v>
      </c>
      <c r="C320" s="2" t="s">
        <v>23</v>
      </c>
      <c r="D320" s="2" t="s">
        <v>51</v>
      </c>
      <c r="E320" s="4"/>
      <c r="F320" s="10">
        <v>100</v>
      </c>
      <c r="G320" s="10">
        <v>51</v>
      </c>
      <c r="H320" s="3">
        <v>48019</v>
      </c>
      <c r="I320" s="4"/>
      <c r="J320" s="11"/>
      <c r="K320" s="11"/>
      <c r="L320" s="2" t="s">
        <v>46</v>
      </c>
      <c r="M320" s="12">
        <v>0.4</v>
      </c>
      <c r="N320" s="2" t="s">
        <v>47</v>
      </c>
      <c r="O320" s="13" t="s">
        <v>48</v>
      </c>
      <c r="P320" s="10"/>
      <c r="Q320" s="12"/>
      <c r="R320" s="5"/>
    </row>
    <row r="321" spans="1:18" x14ac:dyDescent="0.25">
      <c r="A321" s="6" t="s">
        <v>44</v>
      </c>
      <c r="B321" s="7">
        <v>46247</v>
      </c>
      <c r="C321" s="6" t="s">
        <v>26</v>
      </c>
      <c r="D321" s="6" t="s">
        <v>52</v>
      </c>
      <c r="E321" s="8"/>
      <c r="F321" s="14">
        <v>100</v>
      </c>
      <c r="G321" s="14">
        <v>41</v>
      </c>
      <c r="H321" s="7">
        <v>48019</v>
      </c>
      <c r="I321" s="8"/>
      <c r="J321" s="15"/>
      <c r="K321" s="15"/>
      <c r="L321" s="6" t="s">
        <v>46</v>
      </c>
      <c r="M321" s="16">
        <v>0.4</v>
      </c>
      <c r="N321" s="6" t="s">
        <v>47</v>
      </c>
      <c r="O321" s="13" t="s">
        <v>48</v>
      </c>
      <c r="P321" s="14"/>
      <c r="Q321" s="16"/>
      <c r="R321" s="9"/>
    </row>
    <row r="322" spans="1:18" x14ac:dyDescent="0.25">
      <c r="A322" s="2" t="s">
        <v>44</v>
      </c>
      <c r="B322" s="3">
        <v>46247</v>
      </c>
      <c r="C322" s="2" t="s">
        <v>29</v>
      </c>
      <c r="D322" s="2" t="s">
        <v>53</v>
      </c>
      <c r="E322" s="4"/>
      <c r="F322" s="10">
        <v>100</v>
      </c>
      <c r="G322" s="10">
        <v>81.5</v>
      </c>
      <c r="H322" s="3">
        <v>48019</v>
      </c>
      <c r="I322" s="4"/>
      <c r="J322" s="11"/>
      <c r="K322" s="11"/>
      <c r="L322" s="2" t="s">
        <v>46</v>
      </c>
      <c r="M322" s="12">
        <v>0.4</v>
      </c>
      <c r="N322" s="2" t="s">
        <v>47</v>
      </c>
      <c r="O322" s="13" t="s">
        <v>48</v>
      </c>
      <c r="P322" s="10"/>
      <c r="Q322" s="12"/>
      <c r="R322" s="5"/>
    </row>
    <row r="323" spans="1:18" x14ac:dyDescent="0.25">
      <c r="A323" s="6" t="s">
        <v>44</v>
      </c>
      <c r="B323" s="7">
        <v>46248</v>
      </c>
      <c r="C323" s="6" t="s">
        <v>9</v>
      </c>
      <c r="D323" s="6" t="s">
        <v>45</v>
      </c>
      <c r="E323" s="8"/>
      <c r="F323" s="14">
        <v>100</v>
      </c>
      <c r="G323" s="14">
        <v>197.25</v>
      </c>
      <c r="H323" s="7">
        <v>48019</v>
      </c>
      <c r="I323" s="8"/>
      <c r="J323" s="15"/>
      <c r="K323" s="15"/>
      <c r="L323" s="6" t="s">
        <v>46</v>
      </c>
      <c r="M323" s="16">
        <v>0.4</v>
      </c>
      <c r="N323" s="6" t="s">
        <v>47</v>
      </c>
      <c r="O323" s="13" t="s">
        <v>48</v>
      </c>
      <c r="P323" s="14"/>
      <c r="Q323" s="16"/>
      <c r="R323" s="9"/>
    </row>
    <row r="324" spans="1:18" x14ac:dyDescent="0.25">
      <c r="A324" s="2" t="s">
        <v>44</v>
      </c>
      <c r="B324" s="3">
        <v>46248</v>
      </c>
      <c r="C324" s="2" t="s">
        <v>14</v>
      </c>
      <c r="D324" s="2" t="s">
        <v>49</v>
      </c>
      <c r="E324" s="4"/>
      <c r="F324" s="10">
        <v>500</v>
      </c>
      <c r="G324" s="10">
        <v>740</v>
      </c>
      <c r="H324" s="3">
        <v>48019</v>
      </c>
      <c r="I324" s="4"/>
      <c r="J324" s="11"/>
      <c r="K324" s="11"/>
      <c r="L324" s="2" t="s">
        <v>46</v>
      </c>
      <c r="M324" s="12">
        <v>0.4</v>
      </c>
      <c r="N324" s="2" t="s">
        <v>47</v>
      </c>
      <c r="O324" s="13" t="s">
        <v>48</v>
      </c>
      <c r="P324" s="10"/>
      <c r="Q324" s="12"/>
      <c r="R324" s="5"/>
    </row>
    <row r="325" spans="1:18" x14ac:dyDescent="0.25">
      <c r="A325" s="6" t="s">
        <v>44</v>
      </c>
      <c r="B325" s="7">
        <v>46248</v>
      </c>
      <c r="C325" s="6" t="s">
        <v>17</v>
      </c>
      <c r="D325" s="6" t="s">
        <v>54</v>
      </c>
      <c r="E325" s="8"/>
      <c r="F325" s="14">
        <v>100</v>
      </c>
      <c r="G325" s="14">
        <v>74.5</v>
      </c>
      <c r="H325" s="7">
        <v>48019</v>
      </c>
      <c r="I325" s="8"/>
      <c r="J325" s="15"/>
      <c r="K325" s="15"/>
      <c r="L325" s="6" t="s">
        <v>46</v>
      </c>
      <c r="M325" s="16">
        <v>0.4</v>
      </c>
      <c r="N325" s="6" t="s">
        <v>47</v>
      </c>
      <c r="O325" s="13" t="s">
        <v>48</v>
      </c>
      <c r="P325" s="14"/>
      <c r="Q325" s="16"/>
      <c r="R325" s="9"/>
    </row>
    <row r="326" spans="1:18" x14ac:dyDescent="0.25">
      <c r="A326" s="2" t="s">
        <v>44</v>
      </c>
      <c r="B326" s="3">
        <v>46248</v>
      </c>
      <c r="C326" s="2" t="s">
        <v>20</v>
      </c>
      <c r="D326" s="2" t="s">
        <v>50</v>
      </c>
      <c r="E326" s="4"/>
      <c r="F326" s="10">
        <v>100</v>
      </c>
      <c r="G326" s="10">
        <v>53</v>
      </c>
      <c r="H326" s="3">
        <v>48019</v>
      </c>
      <c r="I326" s="4"/>
      <c r="J326" s="11"/>
      <c r="K326" s="11"/>
      <c r="L326" s="2" t="s">
        <v>46</v>
      </c>
      <c r="M326" s="12">
        <v>0.4</v>
      </c>
      <c r="N326" s="2" t="s">
        <v>47</v>
      </c>
      <c r="O326" s="13" t="s">
        <v>48</v>
      </c>
      <c r="P326" s="10"/>
      <c r="Q326" s="12"/>
      <c r="R326" s="5"/>
    </row>
    <row r="327" spans="1:18" x14ac:dyDescent="0.25">
      <c r="A327" s="6" t="s">
        <v>44</v>
      </c>
      <c r="B327" s="7">
        <v>46248</v>
      </c>
      <c r="C327" s="6" t="s">
        <v>23</v>
      </c>
      <c r="D327" s="6" t="s">
        <v>51</v>
      </c>
      <c r="E327" s="8"/>
      <c r="F327" s="14">
        <v>100</v>
      </c>
      <c r="G327" s="14">
        <v>52.25</v>
      </c>
      <c r="H327" s="7">
        <v>48019</v>
      </c>
      <c r="I327" s="8"/>
      <c r="J327" s="15"/>
      <c r="K327" s="15"/>
      <c r="L327" s="6" t="s">
        <v>46</v>
      </c>
      <c r="M327" s="16">
        <v>0.4</v>
      </c>
      <c r="N327" s="6" t="s">
        <v>47</v>
      </c>
      <c r="O327" s="13" t="s">
        <v>48</v>
      </c>
      <c r="P327" s="14"/>
      <c r="Q327" s="16"/>
      <c r="R327" s="9"/>
    </row>
    <row r="328" spans="1:18" x14ac:dyDescent="0.25">
      <c r="A328" s="2" t="s">
        <v>44</v>
      </c>
      <c r="B328" s="3">
        <v>46248</v>
      </c>
      <c r="C328" s="2" t="s">
        <v>26</v>
      </c>
      <c r="D328" s="2" t="s">
        <v>52</v>
      </c>
      <c r="E328" s="4"/>
      <c r="F328" s="10">
        <v>100</v>
      </c>
      <c r="G328" s="10">
        <v>42</v>
      </c>
      <c r="H328" s="3">
        <v>48019</v>
      </c>
      <c r="I328" s="4"/>
      <c r="J328" s="11"/>
      <c r="K328" s="11"/>
      <c r="L328" s="2" t="s">
        <v>46</v>
      </c>
      <c r="M328" s="12">
        <v>0.4</v>
      </c>
      <c r="N328" s="2" t="s">
        <v>47</v>
      </c>
      <c r="O328" s="13" t="s">
        <v>48</v>
      </c>
      <c r="P328" s="10"/>
      <c r="Q328" s="12"/>
      <c r="R328" s="5"/>
    </row>
    <row r="329" spans="1:18" x14ac:dyDescent="0.25">
      <c r="A329" s="6" t="s">
        <v>44</v>
      </c>
      <c r="B329" s="7">
        <v>46248</v>
      </c>
      <c r="C329" s="6" t="s">
        <v>29</v>
      </c>
      <c r="D329" s="6" t="s">
        <v>53</v>
      </c>
      <c r="E329" s="8"/>
      <c r="F329" s="14">
        <v>100</v>
      </c>
      <c r="G329" s="14">
        <v>80</v>
      </c>
      <c r="H329" s="7">
        <v>48019</v>
      </c>
      <c r="I329" s="8"/>
      <c r="J329" s="15"/>
      <c r="K329" s="15"/>
      <c r="L329" s="6" t="s">
        <v>46</v>
      </c>
      <c r="M329" s="16">
        <v>0.4</v>
      </c>
      <c r="N329" s="6" t="s">
        <v>47</v>
      </c>
      <c r="O329" s="13" t="s">
        <v>48</v>
      </c>
      <c r="P329" s="14"/>
      <c r="Q329" s="16"/>
      <c r="R329" s="9"/>
    </row>
    <row r="330" spans="1:18" x14ac:dyDescent="0.25">
      <c r="A330" s="2" t="s">
        <v>44</v>
      </c>
      <c r="B330" s="3">
        <v>46251</v>
      </c>
      <c r="C330" s="2" t="s">
        <v>9</v>
      </c>
      <c r="D330" s="2" t="s">
        <v>45</v>
      </c>
      <c r="E330" s="4"/>
      <c r="F330" s="10">
        <v>100</v>
      </c>
      <c r="G330" s="10">
        <v>192</v>
      </c>
      <c r="H330" s="3">
        <v>48019</v>
      </c>
      <c r="I330" s="4"/>
      <c r="J330" s="11"/>
      <c r="K330" s="11"/>
      <c r="L330" s="2" t="s">
        <v>46</v>
      </c>
      <c r="M330" s="12">
        <v>0.4</v>
      </c>
      <c r="N330" s="2" t="s">
        <v>47</v>
      </c>
      <c r="O330" s="13" t="s">
        <v>48</v>
      </c>
      <c r="P330" s="10"/>
      <c r="Q330" s="12"/>
      <c r="R330" s="5"/>
    </row>
    <row r="331" spans="1:18" x14ac:dyDescent="0.25">
      <c r="A331" s="6" t="s">
        <v>44</v>
      </c>
      <c r="B331" s="7">
        <v>46251</v>
      </c>
      <c r="C331" s="6" t="s">
        <v>14</v>
      </c>
      <c r="D331" s="6" t="s">
        <v>49</v>
      </c>
      <c r="E331" s="8"/>
      <c r="F331" s="14">
        <v>500</v>
      </c>
      <c r="G331" s="14">
        <v>670</v>
      </c>
      <c r="H331" s="7">
        <v>48019</v>
      </c>
      <c r="I331" s="8"/>
      <c r="J331" s="15"/>
      <c r="K331" s="15"/>
      <c r="L331" s="6" t="s">
        <v>46</v>
      </c>
      <c r="M331" s="16">
        <v>0.4</v>
      </c>
      <c r="N331" s="6" t="s">
        <v>47</v>
      </c>
      <c r="O331" s="13" t="s">
        <v>48</v>
      </c>
      <c r="P331" s="14"/>
      <c r="Q331" s="16"/>
      <c r="R331" s="9"/>
    </row>
    <row r="332" spans="1:18" x14ac:dyDescent="0.25">
      <c r="A332" s="2" t="s">
        <v>44</v>
      </c>
      <c r="B332" s="3">
        <v>46251</v>
      </c>
      <c r="C332" s="2" t="s">
        <v>17</v>
      </c>
      <c r="D332" s="2" t="s">
        <v>54</v>
      </c>
      <c r="E332" s="4"/>
      <c r="F332" s="10">
        <v>100</v>
      </c>
      <c r="G332" s="10">
        <v>82</v>
      </c>
      <c r="H332" s="3">
        <v>48019</v>
      </c>
      <c r="I332" s="4"/>
      <c r="J332" s="11"/>
      <c r="K332" s="11"/>
      <c r="L332" s="2" t="s">
        <v>46</v>
      </c>
      <c r="M332" s="12">
        <v>0.4</v>
      </c>
      <c r="N332" s="2" t="s">
        <v>47</v>
      </c>
      <c r="O332" s="13" t="s">
        <v>48</v>
      </c>
      <c r="P332" s="10"/>
      <c r="Q332" s="12"/>
      <c r="R332" s="5"/>
    </row>
    <row r="333" spans="1:18" x14ac:dyDescent="0.25">
      <c r="A333" s="6" t="s">
        <v>44</v>
      </c>
      <c r="B333" s="7">
        <v>46251</v>
      </c>
      <c r="C333" s="6" t="s">
        <v>20</v>
      </c>
      <c r="D333" s="6" t="s">
        <v>50</v>
      </c>
      <c r="E333" s="8"/>
      <c r="F333" s="14">
        <v>100</v>
      </c>
      <c r="G333" s="14">
        <v>58.14</v>
      </c>
      <c r="H333" s="7">
        <v>48019</v>
      </c>
      <c r="I333" s="8"/>
      <c r="J333" s="15"/>
      <c r="K333" s="15"/>
      <c r="L333" s="6" t="s">
        <v>46</v>
      </c>
      <c r="M333" s="16">
        <v>0.4</v>
      </c>
      <c r="N333" s="6" t="s">
        <v>47</v>
      </c>
      <c r="O333" s="13" t="s">
        <v>48</v>
      </c>
      <c r="P333" s="14"/>
      <c r="Q333" s="16"/>
      <c r="R333" s="9"/>
    </row>
    <row r="334" spans="1:18" x14ac:dyDescent="0.25">
      <c r="A334" s="2" t="s">
        <v>44</v>
      </c>
      <c r="B334" s="3">
        <v>46251</v>
      </c>
      <c r="C334" s="2" t="s">
        <v>23</v>
      </c>
      <c r="D334" s="2" t="s">
        <v>51</v>
      </c>
      <c r="E334" s="4"/>
      <c r="F334" s="10">
        <v>100</v>
      </c>
      <c r="G334" s="10">
        <v>56</v>
      </c>
      <c r="H334" s="3">
        <v>48019</v>
      </c>
      <c r="I334" s="4"/>
      <c r="J334" s="11"/>
      <c r="K334" s="11"/>
      <c r="L334" s="2" t="s">
        <v>46</v>
      </c>
      <c r="M334" s="12">
        <v>0.4</v>
      </c>
      <c r="N334" s="2" t="s">
        <v>47</v>
      </c>
      <c r="O334" s="13" t="s">
        <v>48</v>
      </c>
      <c r="P334" s="10"/>
      <c r="Q334" s="12"/>
      <c r="R334" s="5"/>
    </row>
    <row r="335" spans="1:18" x14ac:dyDescent="0.25">
      <c r="A335" s="6" t="s">
        <v>44</v>
      </c>
      <c r="B335" s="7">
        <v>46251</v>
      </c>
      <c r="C335" s="6" t="s">
        <v>26</v>
      </c>
      <c r="D335" s="6" t="s">
        <v>52</v>
      </c>
      <c r="E335" s="8"/>
      <c r="F335" s="14">
        <v>100</v>
      </c>
      <c r="G335" s="14">
        <v>45</v>
      </c>
      <c r="H335" s="7">
        <v>48019</v>
      </c>
      <c r="I335" s="8"/>
      <c r="J335" s="15"/>
      <c r="K335" s="15"/>
      <c r="L335" s="6" t="s">
        <v>46</v>
      </c>
      <c r="M335" s="16">
        <v>0.4</v>
      </c>
      <c r="N335" s="6" t="s">
        <v>47</v>
      </c>
      <c r="O335" s="13" t="s">
        <v>48</v>
      </c>
      <c r="P335" s="14"/>
      <c r="Q335" s="16"/>
      <c r="R335" s="9"/>
    </row>
    <row r="336" spans="1:18" x14ac:dyDescent="0.25">
      <c r="A336" s="2" t="s">
        <v>44</v>
      </c>
      <c r="B336" s="3">
        <v>46251</v>
      </c>
      <c r="C336" s="2" t="s">
        <v>29</v>
      </c>
      <c r="D336" s="2" t="s">
        <v>53</v>
      </c>
      <c r="E336" s="4"/>
      <c r="F336" s="10">
        <v>100</v>
      </c>
      <c r="G336" s="10">
        <v>88.25</v>
      </c>
      <c r="H336" s="3">
        <v>48019</v>
      </c>
      <c r="I336" s="4"/>
      <c r="J336" s="11"/>
      <c r="K336" s="11"/>
      <c r="L336" s="2" t="s">
        <v>46</v>
      </c>
      <c r="M336" s="12">
        <v>0.4</v>
      </c>
      <c r="N336" s="2" t="s">
        <v>47</v>
      </c>
      <c r="O336" s="13" t="s">
        <v>48</v>
      </c>
      <c r="P336" s="10"/>
      <c r="Q336" s="12"/>
      <c r="R336" s="5"/>
    </row>
    <row r="337" spans="1:18" x14ac:dyDescent="0.25">
      <c r="A337" s="6" t="s">
        <v>44</v>
      </c>
      <c r="B337" s="7">
        <v>46252</v>
      </c>
      <c r="C337" s="6" t="s">
        <v>9</v>
      </c>
      <c r="D337" s="6" t="s">
        <v>45</v>
      </c>
      <c r="E337" s="8"/>
      <c r="F337" s="14">
        <v>100</v>
      </c>
      <c r="G337" s="14">
        <v>197.5</v>
      </c>
      <c r="H337" s="7">
        <v>48019</v>
      </c>
      <c r="I337" s="8"/>
      <c r="J337" s="15"/>
      <c r="K337" s="15"/>
      <c r="L337" s="6" t="s">
        <v>46</v>
      </c>
      <c r="M337" s="16">
        <v>0.4</v>
      </c>
      <c r="N337" s="6" t="s">
        <v>47</v>
      </c>
      <c r="O337" s="13" t="s">
        <v>48</v>
      </c>
      <c r="P337" s="14"/>
      <c r="Q337" s="16"/>
      <c r="R337" s="9"/>
    </row>
    <row r="338" spans="1:18" x14ac:dyDescent="0.25">
      <c r="A338" s="2" t="s">
        <v>44</v>
      </c>
      <c r="B338" s="3">
        <v>46252</v>
      </c>
      <c r="C338" s="2" t="s">
        <v>14</v>
      </c>
      <c r="D338" s="2" t="s">
        <v>49</v>
      </c>
      <c r="E338" s="4"/>
      <c r="F338" s="10">
        <v>500</v>
      </c>
      <c r="G338" s="10">
        <v>700</v>
      </c>
      <c r="H338" s="3">
        <v>48019</v>
      </c>
      <c r="I338" s="4"/>
      <c r="J338" s="11"/>
      <c r="K338" s="11"/>
      <c r="L338" s="2" t="s">
        <v>46</v>
      </c>
      <c r="M338" s="12">
        <v>0.4</v>
      </c>
      <c r="N338" s="2" t="s">
        <v>47</v>
      </c>
      <c r="O338" s="13" t="s">
        <v>48</v>
      </c>
      <c r="P338" s="10"/>
      <c r="Q338" s="12"/>
      <c r="R338" s="5"/>
    </row>
    <row r="339" spans="1:18" x14ac:dyDescent="0.25">
      <c r="A339" s="6" t="s">
        <v>44</v>
      </c>
      <c r="B339" s="7">
        <v>46252</v>
      </c>
      <c r="C339" s="6" t="s">
        <v>17</v>
      </c>
      <c r="D339" s="6" t="s">
        <v>54</v>
      </c>
      <c r="E339" s="8"/>
      <c r="F339" s="14">
        <v>100</v>
      </c>
      <c r="G339" s="14">
        <v>83.25</v>
      </c>
      <c r="H339" s="7">
        <v>48019</v>
      </c>
      <c r="I339" s="8"/>
      <c r="J339" s="15"/>
      <c r="K339" s="15"/>
      <c r="L339" s="6" t="s">
        <v>46</v>
      </c>
      <c r="M339" s="16">
        <v>0.4</v>
      </c>
      <c r="N339" s="6" t="s">
        <v>47</v>
      </c>
      <c r="O339" s="13" t="s">
        <v>48</v>
      </c>
      <c r="P339" s="14"/>
      <c r="Q339" s="16"/>
      <c r="R339" s="9"/>
    </row>
    <row r="340" spans="1:18" x14ac:dyDescent="0.25">
      <c r="A340" s="2" t="s">
        <v>44</v>
      </c>
      <c r="B340" s="3">
        <v>46252</v>
      </c>
      <c r="C340" s="2" t="s">
        <v>20</v>
      </c>
      <c r="D340" s="2" t="s">
        <v>50</v>
      </c>
      <c r="E340" s="4"/>
      <c r="F340" s="10">
        <v>100</v>
      </c>
      <c r="G340" s="10">
        <v>59.86</v>
      </c>
      <c r="H340" s="3">
        <v>48019</v>
      </c>
      <c r="I340" s="4"/>
      <c r="J340" s="11"/>
      <c r="K340" s="11"/>
      <c r="L340" s="2" t="s">
        <v>46</v>
      </c>
      <c r="M340" s="12">
        <v>0.4</v>
      </c>
      <c r="N340" s="2" t="s">
        <v>47</v>
      </c>
      <c r="O340" s="13" t="s">
        <v>48</v>
      </c>
      <c r="P340" s="10"/>
      <c r="Q340" s="12"/>
      <c r="R340" s="5"/>
    </row>
    <row r="341" spans="1:18" x14ac:dyDescent="0.25">
      <c r="A341" s="6" t="s">
        <v>44</v>
      </c>
      <c r="B341" s="7">
        <v>46252</v>
      </c>
      <c r="C341" s="6" t="s">
        <v>23</v>
      </c>
      <c r="D341" s="6" t="s">
        <v>51</v>
      </c>
      <c r="E341" s="8"/>
      <c r="F341" s="14">
        <v>100</v>
      </c>
      <c r="G341" s="14">
        <v>56.75</v>
      </c>
      <c r="H341" s="7">
        <v>48019</v>
      </c>
      <c r="I341" s="8"/>
      <c r="J341" s="15"/>
      <c r="K341" s="15"/>
      <c r="L341" s="6" t="s">
        <v>46</v>
      </c>
      <c r="M341" s="16">
        <v>0.4</v>
      </c>
      <c r="N341" s="6" t="s">
        <v>47</v>
      </c>
      <c r="O341" s="13" t="s">
        <v>48</v>
      </c>
      <c r="P341" s="14"/>
      <c r="Q341" s="16"/>
      <c r="R341" s="9"/>
    </row>
    <row r="342" spans="1:18" x14ac:dyDescent="0.25">
      <c r="A342" s="2" t="s">
        <v>44</v>
      </c>
      <c r="B342" s="3">
        <v>46252</v>
      </c>
      <c r="C342" s="2" t="s">
        <v>26</v>
      </c>
      <c r="D342" s="2" t="s">
        <v>52</v>
      </c>
      <c r="E342" s="4"/>
      <c r="F342" s="10">
        <v>100</v>
      </c>
      <c r="G342" s="10">
        <v>45.75</v>
      </c>
      <c r="H342" s="3">
        <v>48019</v>
      </c>
      <c r="I342" s="4"/>
      <c r="J342" s="11"/>
      <c r="K342" s="11"/>
      <c r="L342" s="2" t="s">
        <v>46</v>
      </c>
      <c r="M342" s="12">
        <v>0.4</v>
      </c>
      <c r="N342" s="2" t="s">
        <v>47</v>
      </c>
      <c r="O342" s="13" t="s">
        <v>48</v>
      </c>
      <c r="P342" s="10"/>
      <c r="Q342" s="12"/>
      <c r="R342" s="5"/>
    </row>
    <row r="343" spans="1:18" x14ac:dyDescent="0.25">
      <c r="A343" s="6" t="s">
        <v>44</v>
      </c>
      <c r="B343" s="7">
        <v>46252</v>
      </c>
      <c r="C343" s="6" t="s">
        <v>29</v>
      </c>
      <c r="D343" s="6" t="s">
        <v>53</v>
      </c>
      <c r="E343" s="8"/>
      <c r="F343" s="14">
        <v>100</v>
      </c>
      <c r="G343" s="14">
        <v>91</v>
      </c>
      <c r="H343" s="7">
        <v>48019</v>
      </c>
      <c r="I343" s="8"/>
      <c r="J343" s="15"/>
      <c r="K343" s="15"/>
      <c r="L343" s="6" t="s">
        <v>46</v>
      </c>
      <c r="M343" s="16">
        <v>0.4</v>
      </c>
      <c r="N343" s="6" t="s">
        <v>47</v>
      </c>
      <c r="O343" s="13" t="s">
        <v>48</v>
      </c>
      <c r="P343" s="14"/>
      <c r="Q343" s="16"/>
      <c r="R343" s="9"/>
    </row>
    <row r="344" spans="1:18" x14ac:dyDescent="0.25">
      <c r="A344" s="2" t="s">
        <v>44</v>
      </c>
      <c r="B344" s="3">
        <v>46253</v>
      </c>
      <c r="C344" s="2" t="s">
        <v>9</v>
      </c>
      <c r="D344" s="2" t="s">
        <v>45</v>
      </c>
      <c r="E344" s="4"/>
      <c r="F344" s="10">
        <v>100</v>
      </c>
      <c r="G344" s="10">
        <v>203</v>
      </c>
      <c r="H344" s="3">
        <v>48019</v>
      </c>
      <c r="I344" s="4"/>
      <c r="J344" s="11"/>
      <c r="K344" s="11"/>
      <c r="L344" s="2" t="s">
        <v>46</v>
      </c>
      <c r="M344" s="12">
        <v>0.4</v>
      </c>
      <c r="N344" s="2" t="s">
        <v>47</v>
      </c>
      <c r="O344" s="13" t="s">
        <v>48</v>
      </c>
      <c r="P344" s="10"/>
      <c r="Q344" s="12"/>
      <c r="R344" s="5"/>
    </row>
    <row r="345" spans="1:18" x14ac:dyDescent="0.25">
      <c r="A345" s="6" t="s">
        <v>44</v>
      </c>
      <c r="B345" s="7">
        <v>46253</v>
      </c>
      <c r="C345" s="6" t="s">
        <v>14</v>
      </c>
      <c r="D345" s="6" t="s">
        <v>49</v>
      </c>
      <c r="E345" s="8"/>
      <c r="F345" s="14">
        <v>500</v>
      </c>
      <c r="G345" s="14">
        <v>730</v>
      </c>
      <c r="H345" s="7">
        <v>48019</v>
      </c>
      <c r="I345" s="8"/>
      <c r="J345" s="15"/>
      <c r="K345" s="15"/>
      <c r="L345" s="6" t="s">
        <v>46</v>
      </c>
      <c r="M345" s="16">
        <v>0.4</v>
      </c>
      <c r="N345" s="6" t="s">
        <v>47</v>
      </c>
      <c r="O345" s="13" t="s">
        <v>48</v>
      </c>
      <c r="P345" s="14"/>
      <c r="Q345" s="16"/>
      <c r="R345" s="9"/>
    </row>
    <row r="346" spans="1:18" x14ac:dyDescent="0.25">
      <c r="A346" s="2" t="s">
        <v>44</v>
      </c>
      <c r="B346" s="3">
        <v>46253</v>
      </c>
      <c r="C346" s="2" t="s">
        <v>17</v>
      </c>
      <c r="D346" s="2" t="s">
        <v>54</v>
      </c>
      <c r="E346" s="4"/>
      <c r="F346" s="10">
        <v>100</v>
      </c>
      <c r="G346" s="10">
        <v>84.5</v>
      </c>
      <c r="H346" s="3">
        <v>48019</v>
      </c>
      <c r="I346" s="4"/>
      <c r="J346" s="11"/>
      <c r="K346" s="11"/>
      <c r="L346" s="2" t="s">
        <v>46</v>
      </c>
      <c r="M346" s="12">
        <v>0.4</v>
      </c>
      <c r="N346" s="2" t="s">
        <v>47</v>
      </c>
      <c r="O346" s="13" t="s">
        <v>48</v>
      </c>
      <c r="P346" s="10"/>
      <c r="Q346" s="12"/>
      <c r="R346" s="5"/>
    </row>
    <row r="347" spans="1:18" x14ac:dyDescent="0.25">
      <c r="A347" s="6" t="s">
        <v>44</v>
      </c>
      <c r="B347" s="7">
        <v>46253</v>
      </c>
      <c r="C347" s="6" t="s">
        <v>20</v>
      </c>
      <c r="D347" s="6" t="s">
        <v>50</v>
      </c>
      <c r="E347" s="8"/>
      <c r="F347" s="14">
        <v>100</v>
      </c>
      <c r="G347" s="14">
        <v>61.57</v>
      </c>
      <c r="H347" s="7">
        <v>48019</v>
      </c>
      <c r="I347" s="8"/>
      <c r="J347" s="15"/>
      <c r="K347" s="15"/>
      <c r="L347" s="6" t="s">
        <v>46</v>
      </c>
      <c r="M347" s="16">
        <v>0.4</v>
      </c>
      <c r="N347" s="6" t="s">
        <v>47</v>
      </c>
      <c r="O347" s="13" t="s">
        <v>48</v>
      </c>
      <c r="P347" s="14"/>
      <c r="Q347" s="16"/>
      <c r="R347" s="9"/>
    </row>
    <row r="348" spans="1:18" x14ac:dyDescent="0.25">
      <c r="A348" s="2" t="s">
        <v>44</v>
      </c>
      <c r="B348" s="3">
        <v>46253</v>
      </c>
      <c r="C348" s="2" t="s">
        <v>23</v>
      </c>
      <c r="D348" s="2" t="s">
        <v>51</v>
      </c>
      <c r="E348" s="4"/>
      <c r="F348" s="10">
        <v>100</v>
      </c>
      <c r="G348" s="10">
        <v>57.5</v>
      </c>
      <c r="H348" s="3">
        <v>48019</v>
      </c>
      <c r="I348" s="4"/>
      <c r="J348" s="11"/>
      <c r="K348" s="11"/>
      <c r="L348" s="2" t="s">
        <v>46</v>
      </c>
      <c r="M348" s="12">
        <v>0.4</v>
      </c>
      <c r="N348" s="2" t="s">
        <v>47</v>
      </c>
      <c r="O348" s="13" t="s">
        <v>48</v>
      </c>
      <c r="P348" s="10"/>
      <c r="Q348" s="12"/>
      <c r="R348" s="5"/>
    </row>
    <row r="349" spans="1:18" x14ac:dyDescent="0.25">
      <c r="A349" s="6" t="s">
        <v>44</v>
      </c>
      <c r="B349" s="7">
        <v>46253</v>
      </c>
      <c r="C349" s="6" t="s">
        <v>26</v>
      </c>
      <c r="D349" s="6" t="s">
        <v>52</v>
      </c>
      <c r="E349" s="8"/>
      <c r="F349" s="14">
        <v>100</v>
      </c>
      <c r="G349" s="14">
        <v>46.5</v>
      </c>
      <c r="H349" s="7">
        <v>48019</v>
      </c>
      <c r="I349" s="8"/>
      <c r="J349" s="15"/>
      <c r="K349" s="15"/>
      <c r="L349" s="6" t="s">
        <v>46</v>
      </c>
      <c r="M349" s="16">
        <v>0.4</v>
      </c>
      <c r="N349" s="6" t="s">
        <v>47</v>
      </c>
      <c r="O349" s="13" t="s">
        <v>48</v>
      </c>
      <c r="P349" s="14"/>
      <c r="Q349" s="16"/>
      <c r="R349" s="9"/>
    </row>
    <row r="350" spans="1:18" x14ac:dyDescent="0.25">
      <c r="A350" s="2" t="s">
        <v>44</v>
      </c>
      <c r="B350" s="3">
        <v>46253</v>
      </c>
      <c r="C350" s="2" t="s">
        <v>29</v>
      </c>
      <c r="D350" s="2" t="s">
        <v>53</v>
      </c>
      <c r="E350" s="4"/>
      <c r="F350" s="10">
        <v>100</v>
      </c>
      <c r="G350" s="10">
        <v>92.67</v>
      </c>
      <c r="H350" s="3">
        <v>48019</v>
      </c>
      <c r="I350" s="4"/>
      <c r="J350" s="11"/>
      <c r="K350" s="11"/>
      <c r="L350" s="2" t="s">
        <v>46</v>
      </c>
      <c r="M350" s="12">
        <v>0.4</v>
      </c>
      <c r="N350" s="2" t="s">
        <v>47</v>
      </c>
      <c r="O350" s="13" t="s">
        <v>48</v>
      </c>
      <c r="P350" s="10"/>
      <c r="Q350" s="12"/>
      <c r="R350" s="5"/>
    </row>
    <row r="351" spans="1:18" x14ac:dyDescent="0.25">
      <c r="A351" s="6" t="s">
        <v>44</v>
      </c>
      <c r="B351" s="7">
        <v>46254</v>
      </c>
      <c r="C351" s="6" t="s">
        <v>9</v>
      </c>
      <c r="D351" s="6" t="s">
        <v>45</v>
      </c>
      <c r="E351" s="8"/>
      <c r="F351" s="14">
        <v>100</v>
      </c>
      <c r="G351" s="14">
        <v>208.5</v>
      </c>
      <c r="H351" s="7">
        <v>48019</v>
      </c>
      <c r="I351" s="8"/>
      <c r="J351" s="15"/>
      <c r="K351" s="15"/>
      <c r="L351" s="6" t="s">
        <v>46</v>
      </c>
      <c r="M351" s="16">
        <v>0.4</v>
      </c>
      <c r="N351" s="6" t="s">
        <v>47</v>
      </c>
      <c r="O351" s="13" t="s">
        <v>48</v>
      </c>
      <c r="P351" s="14"/>
      <c r="Q351" s="16"/>
      <c r="R351" s="9"/>
    </row>
    <row r="352" spans="1:18" x14ac:dyDescent="0.25">
      <c r="A352" s="2" t="s">
        <v>44</v>
      </c>
      <c r="B352" s="3">
        <v>46254</v>
      </c>
      <c r="C352" s="2" t="s">
        <v>14</v>
      </c>
      <c r="D352" s="2" t="s">
        <v>49</v>
      </c>
      <c r="E352" s="4"/>
      <c r="F352" s="10">
        <v>500</v>
      </c>
      <c r="G352" s="10">
        <v>760</v>
      </c>
      <c r="H352" s="3">
        <v>48019</v>
      </c>
      <c r="I352" s="4"/>
      <c r="J352" s="11"/>
      <c r="K352" s="11"/>
      <c r="L352" s="2" t="s">
        <v>46</v>
      </c>
      <c r="M352" s="12">
        <v>0.4</v>
      </c>
      <c r="N352" s="2" t="s">
        <v>47</v>
      </c>
      <c r="O352" s="13" t="s">
        <v>48</v>
      </c>
      <c r="P352" s="10"/>
      <c r="Q352" s="12"/>
      <c r="R352" s="5"/>
    </row>
    <row r="353" spans="1:18" x14ac:dyDescent="0.25">
      <c r="A353" s="6" t="s">
        <v>44</v>
      </c>
      <c r="B353" s="7">
        <v>46254</v>
      </c>
      <c r="C353" s="6" t="s">
        <v>17</v>
      </c>
      <c r="D353" s="6" t="s">
        <v>54</v>
      </c>
      <c r="E353" s="8"/>
      <c r="F353" s="14">
        <v>100</v>
      </c>
      <c r="G353" s="14">
        <v>85.75</v>
      </c>
      <c r="H353" s="7">
        <v>48019</v>
      </c>
      <c r="I353" s="8"/>
      <c r="J353" s="15"/>
      <c r="K353" s="15"/>
      <c r="L353" s="6" t="s">
        <v>46</v>
      </c>
      <c r="M353" s="16">
        <v>0.4</v>
      </c>
      <c r="N353" s="6" t="s">
        <v>47</v>
      </c>
      <c r="O353" s="13" t="s">
        <v>48</v>
      </c>
      <c r="P353" s="14"/>
      <c r="Q353" s="16"/>
      <c r="R353" s="9"/>
    </row>
    <row r="354" spans="1:18" x14ac:dyDescent="0.25">
      <c r="A354" s="2" t="s">
        <v>44</v>
      </c>
      <c r="B354" s="3">
        <v>46254</v>
      </c>
      <c r="C354" s="2" t="s">
        <v>20</v>
      </c>
      <c r="D354" s="2" t="s">
        <v>50</v>
      </c>
      <c r="E354" s="4"/>
      <c r="F354" s="10">
        <v>100</v>
      </c>
      <c r="G354" s="10">
        <v>63.29</v>
      </c>
      <c r="H354" s="3">
        <v>48019</v>
      </c>
      <c r="I354" s="4"/>
      <c r="J354" s="11"/>
      <c r="K354" s="11"/>
      <c r="L354" s="2" t="s">
        <v>46</v>
      </c>
      <c r="M354" s="12">
        <v>0.4</v>
      </c>
      <c r="N354" s="2" t="s">
        <v>47</v>
      </c>
      <c r="O354" s="13" t="s">
        <v>48</v>
      </c>
      <c r="P354" s="10"/>
      <c r="Q354" s="12"/>
      <c r="R354" s="5"/>
    </row>
    <row r="355" spans="1:18" x14ac:dyDescent="0.25">
      <c r="A355" s="6" t="s">
        <v>44</v>
      </c>
      <c r="B355" s="7">
        <v>46254</v>
      </c>
      <c r="C355" s="6" t="s">
        <v>23</v>
      </c>
      <c r="D355" s="6" t="s">
        <v>51</v>
      </c>
      <c r="E355" s="8"/>
      <c r="F355" s="14">
        <v>100</v>
      </c>
      <c r="G355" s="14">
        <v>58.25</v>
      </c>
      <c r="H355" s="7">
        <v>48019</v>
      </c>
      <c r="I355" s="8"/>
      <c r="J355" s="15"/>
      <c r="K355" s="15"/>
      <c r="L355" s="6" t="s">
        <v>46</v>
      </c>
      <c r="M355" s="16">
        <v>0.4</v>
      </c>
      <c r="N355" s="6" t="s">
        <v>47</v>
      </c>
      <c r="O355" s="13" t="s">
        <v>48</v>
      </c>
      <c r="P355" s="14"/>
      <c r="Q355" s="16"/>
      <c r="R355" s="9"/>
    </row>
    <row r="356" spans="1:18" x14ac:dyDescent="0.25">
      <c r="A356" s="2" t="s">
        <v>44</v>
      </c>
      <c r="B356" s="3">
        <v>46254</v>
      </c>
      <c r="C356" s="2" t="s">
        <v>26</v>
      </c>
      <c r="D356" s="2" t="s">
        <v>52</v>
      </c>
      <c r="E356" s="4"/>
      <c r="F356" s="10">
        <v>100</v>
      </c>
      <c r="G356" s="10">
        <v>47.25</v>
      </c>
      <c r="H356" s="3">
        <v>48019</v>
      </c>
      <c r="I356" s="4"/>
      <c r="J356" s="11"/>
      <c r="K356" s="11"/>
      <c r="L356" s="2" t="s">
        <v>46</v>
      </c>
      <c r="M356" s="12">
        <v>0.4</v>
      </c>
      <c r="N356" s="2" t="s">
        <v>47</v>
      </c>
      <c r="O356" s="13" t="s">
        <v>48</v>
      </c>
      <c r="P356" s="10"/>
      <c r="Q356" s="12"/>
      <c r="R356" s="5"/>
    </row>
    <row r="357" spans="1:18" x14ac:dyDescent="0.25">
      <c r="A357" s="6" t="s">
        <v>44</v>
      </c>
      <c r="B357" s="7">
        <v>46254</v>
      </c>
      <c r="C357" s="6" t="s">
        <v>29</v>
      </c>
      <c r="D357" s="6" t="s">
        <v>53</v>
      </c>
      <c r="E357" s="8"/>
      <c r="F357" s="14">
        <v>100</v>
      </c>
      <c r="G357" s="14">
        <v>94.33</v>
      </c>
      <c r="H357" s="7">
        <v>48019</v>
      </c>
      <c r="I357" s="8"/>
      <c r="J357" s="15"/>
      <c r="K357" s="15"/>
      <c r="L357" s="6" t="s">
        <v>46</v>
      </c>
      <c r="M357" s="16">
        <v>0.4</v>
      </c>
      <c r="N357" s="6" t="s">
        <v>47</v>
      </c>
      <c r="O357" s="13" t="s">
        <v>48</v>
      </c>
      <c r="P357" s="14"/>
      <c r="Q357" s="16"/>
      <c r="R357" s="9"/>
    </row>
    <row r="358" spans="1:18" x14ac:dyDescent="0.25">
      <c r="A358" s="2" t="s">
        <v>44</v>
      </c>
      <c r="B358" s="3">
        <v>46255</v>
      </c>
      <c r="C358" s="2" t="s">
        <v>9</v>
      </c>
      <c r="D358" s="2" t="s">
        <v>45</v>
      </c>
      <c r="E358" s="4"/>
      <c r="F358" s="10">
        <v>100</v>
      </c>
      <c r="G358" s="10">
        <v>214</v>
      </c>
      <c r="H358" s="3">
        <v>48019</v>
      </c>
      <c r="I358" s="4"/>
      <c r="J358" s="11"/>
      <c r="K358" s="11"/>
      <c r="L358" s="2" t="s">
        <v>46</v>
      </c>
      <c r="M358" s="12">
        <v>0.4</v>
      </c>
      <c r="N358" s="2" t="s">
        <v>47</v>
      </c>
      <c r="O358" s="13" t="s">
        <v>48</v>
      </c>
      <c r="P358" s="10"/>
      <c r="Q358" s="12"/>
      <c r="R358" s="5"/>
    </row>
    <row r="359" spans="1:18" x14ac:dyDescent="0.25">
      <c r="A359" s="6" t="s">
        <v>44</v>
      </c>
      <c r="B359" s="7">
        <v>46255</v>
      </c>
      <c r="C359" s="6" t="s">
        <v>14</v>
      </c>
      <c r="D359" s="6" t="s">
        <v>49</v>
      </c>
      <c r="E359" s="8"/>
      <c r="F359" s="14">
        <v>500</v>
      </c>
      <c r="G359" s="14">
        <v>790</v>
      </c>
      <c r="H359" s="7">
        <v>48019</v>
      </c>
      <c r="I359" s="8"/>
      <c r="J359" s="15"/>
      <c r="K359" s="15"/>
      <c r="L359" s="6" t="s">
        <v>46</v>
      </c>
      <c r="M359" s="16">
        <v>0.4</v>
      </c>
      <c r="N359" s="6" t="s">
        <v>47</v>
      </c>
      <c r="O359" s="13" t="s">
        <v>48</v>
      </c>
      <c r="P359" s="14"/>
      <c r="Q359" s="16"/>
      <c r="R359" s="9"/>
    </row>
    <row r="360" spans="1:18" x14ac:dyDescent="0.25">
      <c r="A360" s="2" t="s">
        <v>44</v>
      </c>
      <c r="B360" s="3">
        <v>46255</v>
      </c>
      <c r="C360" s="2" t="s">
        <v>17</v>
      </c>
      <c r="D360" s="2" t="s">
        <v>54</v>
      </c>
      <c r="E360" s="4"/>
      <c r="F360" s="10">
        <v>100</v>
      </c>
      <c r="G360" s="10">
        <v>87</v>
      </c>
      <c r="H360" s="3">
        <v>48019</v>
      </c>
      <c r="I360" s="4"/>
      <c r="J360" s="11"/>
      <c r="K360" s="11"/>
      <c r="L360" s="2" t="s">
        <v>46</v>
      </c>
      <c r="M360" s="12">
        <v>0.4</v>
      </c>
      <c r="N360" s="2" t="s">
        <v>47</v>
      </c>
      <c r="O360" s="13" t="s">
        <v>48</v>
      </c>
      <c r="P360" s="10"/>
      <c r="Q360" s="12"/>
      <c r="R360" s="5"/>
    </row>
    <row r="361" spans="1:18" x14ac:dyDescent="0.25">
      <c r="A361" s="6" t="s">
        <v>44</v>
      </c>
      <c r="B361" s="7">
        <v>46255</v>
      </c>
      <c r="C361" s="6" t="s">
        <v>20</v>
      </c>
      <c r="D361" s="6" t="s">
        <v>50</v>
      </c>
      <c r="E361" s="8"/>
      <c r="F361" s="14">
        <v>100</v>
      </c>
      <c r="G361" s="14">
        <v>65</v>
      </c>
      <c r="H361" s="7">
        <v>48019</v>
      </c>
      <c r="I361" s="8"/>
      <c r="J361" s="15"/>
      <c r="K361" s="15"/>
      <c r="L361" s="6" t="s">
        <v>46</v>
      </c>
      <c r="M361" s="16">
        <v>0.4</v>
      </c>
      <c r="N361" s="6" t="s">
        <v>47</v>
      </c>
      <c r="O361" s="13" t="s">
        <v>48</v>
      </c>
      <c r="P361" s="14"/>
      <c r="Q361" s="16"/>
      <c r="R361" s="9"/>
    </row>
    <row r="362" spans="1:18" x14ac:dyDescent="0.25">
      <c r="A362" s="2" t="s">
        <v>44</v>
      </c>
      <c r="B362" s="3">
        <v>46255</v>
      </c>
      <c r="C362" s="2" t="s">
        <v>23</v>
      </c>
      <c r="D362" s="2" t="s">
        <v>51</v>
      </c>
      <c r="E362" s="4"/>
      <c r="F362" s="10">
        <v>100</v>
      </c>
      <c r="G362" s="10">
        <v>59</v>
      </c>
      <c r="H362" s="3">
        <v>48019</v>
      </c>
      <c r="I362" s="4"/>
      <c r="J362" s="11"/>
      <c r="K362" s="11"/>
      <c r="L362" s="2" t="s">
        <v>46</v>
      </c>
      <c r="M362" s="12">
        <v>0.4</v>
      </c>
      <c r="N362" s="2" t="s">
        <v>47</v>
      </c>
      <c r="O362" s="13" t="s">
        <v>48</v>
      </c>
      <c r="P362" s="10"/>
      <c r="Q362" s="12"/>
      <c r="R362" s="5"/>
    </row>
    <row r="363" spans="1:18" x14ac:dyDescent="0.25">
      <c r="A363" s="6" t="s">
        <v>44</v>
      </c>
      <c r="B363" s="7">
        <v>46255</v>
      </c>
      <c r="C363" s="6" t="s">
        <v>26</v>
      </c>
      <c r="D363" s="6" t="s">
        <v>52</v>
      </c>
      <c r="E363" s="8"/>
      <c r="F363" s="14">
        <v>100</v>
      </c>
      <c r="G363" s="14">
        <v>48</v>
      </c>
      <c r="H363" s="7">
        <v>48019</v>
      </c>
      <c r="I363" s="8"/>
      <c r="J363" s="15"/>
      <c r="K363" s="15"/>
      <c r="L363" s="6" t="s">
        <v>46</v>
      </c>
      <c r="M363" s="16">
        <v>0.4</v>
      </c>
      <c r="N363" s="6" t="s">
        <v>47</v>
      </c>
      <c r="O363" s="13" t="s">
        <v>48</v>
      </c>
      <c r="P363" s="14"/>
      <c r="Q363" s="16"/>
      <c r="R363" s="9"/>
    </row>
    <row r="364" spans="1:18" x14ac:dyDescent="0.25">
      <c r="A364" s="2" t="s">
        <v>44</v>
      </c>
      <c r="B364" s="3">
        <v>46255</v>
      </c>
      <c r="C364" s="2" t="s">
        <v>29</v>
      </c>
      <c r="D364" s="2" t="s">
        <v>53</v>
      </c>
      <c r="E364" s="4"/>
      <c r="F364" s="10">
        <v>100</v>
      </c>
      <c r="G364" s="10">
        <v>96</v>
      </c>
      <c r="H364" s="3">
        <v>48019</v>
      </c>
      <c r="I364" s="4"/>
      <c r="J364" s="11"/>
      <c r="K364" s="11"/>
      <c r="L364" s="2" t="s">
        <v>46</v>
      </c>
      <c r="M364" s="12">
        <v>0.4</v>
      </c>
      <c r="N364" s="2" t="s">
        <v>47</v>
      </c>
      <c r="O364" s="13" t="s">
        <v>48</v>
      </c>
      <c r="P364" s="10"/>
      <c r="Q364" s="12"/>
      <c r="R364" s="5"/>
    </row>
    <row r="365" spans="1:18" x14ac:dyDescent="0.25">
      <c r="A365" s="6" t="s">
        <v>8</v>
      </c>
      <c r="B365" s="7">
        <v>46258</v>
      </c>
      <c r="C365" s="6" t="s">
        <v>9</v>
      </c>
      <c r="D365" s="6" t="s">
        <v>11</v>
      </c>
      <c r="E365" s="8">
        <v>95.0309</v>
      </c>
      <c r="F365" s="14">
        <v>100</v>
      </c>
      <c r="G365" s="14">
        <v>223.30088522481057</v>
      </c>
      <c r="H365" s="7">
        <v>48019</v>
      </c>
      <c r="I365" s="8">
        <v>95.03089999999973</v>
      </c>
      <c r="J365" s="15">
        <v>2.7000623958883807e-13</v>
      </c>
      <c r="K365" s="15">
        <v>0.03752941310040114</v>
      </c>
      <c r="L365" s="6" t="s">
        <v>55</v>
      </c>
      <c r="M365" s="16">
        <v>0.4</v>
      </c>
      <c r="N365" s="6" t="s">
        <v>56</v>
      </c>
      <c r="O365" s="17" t="s">
        <v>57</v>
      </c>
      <c r="P365" s="14"/>
      <c r="Q365" s="16"/>
      <c r="R365" s="9" t="s">
        <v>12</v>
      </c>
    </row>
    <row r="366" spans="1:18" x14ac:dyDescent="0.25">
      <c r="A366" s="2" t="s">
        <v>8</v>
      </c>
      <c r="B366" s="3">
        <v>46258</v>
      </c>
      <c r="C366" s="2" t="s">
        <v>14</v>
      </c>
      <c r="D366" s="2" t="s">
        <v>16</v>
      </c>
      <c r="E366" s="4">
        <v>90.0135</v>
      </c>
      <c r="F366" s="10">
        <v>500</v>
      </c>
      <c r="G366" s="10">
        <v>806.1392991612953</v>
      </c>
      <c r="H366" s="3">
        <v>48019</v>
      </c>
      <c r="I366" s="4">
        <v>90.0134999999915</v>
      </c>
      <c r="J366" s="11">
        <v>8.498091119690798e-12</v>
      </c>
      <c r="K366" s="11">
        <v>0.13551098243908655</v>
      </c>
      <c r="L366" s="2" t="s">
        <v>55</v>
      </c>
      <c r="M366" s="12">
        <v>0.4</v>
      </c>
      <c r="N366" s="2" t="s">
        <v>56</v>
      </c>
      <c r="O366" s="17" t="s">
        <v>57</v>
      </c>
      <c r="P366" s="10"/>
      <c r="Q366" s="12"/>
      <c r="R366" s="5" t="s">
        <v>12</v>
      </c>
    </row>
    <row r="367" spans="1:18" x14ac:dyDescent="0.25">
      <c r="A367" s="6" t="s">
        <v>8</v>
      </c>
      <c r="B367" s="7">
        <v>46258</v>
      </c>
      <c r="C367" s="6" t="s">
        <v>17</v>
      </c>
      <c r="D367" s="6" t="s">
        <v>19</v>
      </c>
      <c r="E367" s="8">
        <v>100.5487</v>
      </c>
      <c r="F367" s="14">
        <v>100</v>
      </c>
      <c r="G367" s="14">
        <v>87.07546545214814</v>
      </c>
      <c r="H367" s="7">
        <v>48019</v>
      </c>
      <c r="I367" s="8">
        <v>100.54869999996743</v>
      </c>
      <c r="J367" s="15">
        <v>3.257127900724299e-11</v>
      </c>
      <c r="K367" s="15">
        <v>0.014634029105593527</v>
      </c>
      <c r="L367" s="6" t="s">
        <v>55</v>
      </c>
      <c r="M367" s="16">
        <v>0.4</v>
      </c>
      <c r="N367" s="6" t="s">
        <v>56</v>
      </c>
      <c r="O367" s="17" t="s">
        <v>57</v>
      </c>
      <c r="P367" s="14"/>
      <c r="Q367" s="16"/>
      <c r="R367" s="9" t="s">
        <v>12</v>
      </c>
    </row>
    <row r="368" spans="1:18" x14ac:dyDescent="0.25">
      <c r="A368" s="2" t="s">
        <v>8</v>
      </c>
      <c r="B368" s="3">
        <v>46258</v>
      </c>
      <c r="C368" s="2" t="s">
        <v>20</v>
      </c>
      <c r="D368" s="2" t="s">
        <v>22</v>
      </c>
      <c r="E368" s="4">
        <v>101.4668</v>
      </c>
      <c r="F368" s="10">
        <v>100</v>
      </c>
      <c r="G368" s="10">
        <v>65.73355523599807</v>
      </c>
      <c r="H368" s="3">
        <v>48019</v>
      </c>
      <c r="I368" s="4">
        <v>101.4667999999846</v>
      </c>
      <c r="J368" s="11">
        <v>1.5404566511278972e-11</v>
      </c>
      <c r="K368" s="11">
        <v>0.011047229474741016</v>
      </c>
      <c r="L368" s="2" t="s">
        <v>55</v>
      </c>
      <c r="M368" s="12">
        <v>0.4</v>
      </c>
      <c r="N368" s="2" t="s">
        <v>56</v>
      </c>
      <c r="O368" s="17" t="s">
        <v>57</v>
      </c>
      <c r="P368" s="10"/>
      <c r="Q368" s="12"/>
      <c r="R368" s="5" t="s">
        <v>12</v>
      </c>
    </row>
    <row r="369" spans="1:18" x14ac:dyDescent="0.25">
      <c r="A369" s="6" t="s">
        <v>8</v>
      </c>
      <c r="B369" s="7">
        <v>46258</v>
      </c>
      <c r="C369" s="6" t="s">
        <v>23</v>
      </c>
      <c r="D369" s="6" t="s">
        <v>25</v>
      </c>
      <c r="E369" s="8">
        <v>101.7418</v>
      </c>
      <c r="F369" s="14">
        <v>100</v>
      </c>
      <c r="G369" s="14">
        <v>59.408709349107504</v>
      </c>
      <c r="H369" s="7">
        <v>48019</v>
      </c>
      <c r="I369" s="8">
        <v>101.74179999998722</v>
      </c>
      <c r="J369" s="15">
        <v>1.2775558388966601e-11</v>
      </c>
      <c r="K369" s="15">
        <v>0.009984258847168803</v>
      </c>
      <c r="L369" s="6" t="s">
        <v>55</v>
      </c>
      <c r="M369" s="16">
        <v>0.4</v>
      </c>
      <c r="N369" s="6" t="s">
        <v>56</v>
      </c>
      <c r="O369" s="17" t="s">
        <v>57</v>
      </c>
      <c r="P369" s="14"/>
      <c r="Q369" s="16"/>
      <c r="R369" s="9" t="s">
        <v>12</v>
      </c>
    </row>
    <row r="370" spans="1:18" x14ac:dyDescent="0.25">
      <c r="A370" s="2" t="s">
        <v>8</v>
      </c>
      <c r="B370" s="3">
        <v>46258</v>
      </c>
      <c r="C370" s="2" t="s">
        <v>26</v>
      </c>
      <c r="D370" s="2" t="s">
        <v>28</v>
      </c>
      <c r="E370" s="4">
        <v>102.2015</v>
      </c>
      <c r="F370" s="10">
        <v>100</v>
      </c>
      <c r="G370" s="10">
        <v>48.90425207812754</v>
      </c>
      <c r="H370" s="3">
        <v>48019</v>
      </c>
      <c r="I370" s="4">
        <v>102.20149999995319</v>
      </c>
      <c r="J370" s="11">
        <v>4.68105554318754e-11</v>
      </c>
      <c r="K370" s="11">
        <v>0.00821885752174012</v>
      </c>
      <c r="L370" s="2" t="s">
        <v>55</v>
      </c>
      <c r="M370" s="12">
        <v>0.4</v>
      </c>
      <c r="N370" s="2" t="s">
        <v>56</v>
      </c>
      <c r="O370" s="17" t="s">
        <v>57</v>
      </c>
      <c r="P370" s="10"/>
      <c r="Q370" s="12"/>
      <c r="R370" s="5" t="s">
        <v>12</v>
      </c>
    </row>
    <row r="371" spans="1:18" x14ac:dyDescent="0.25">
      <c r="A371" s="6" t="s">
        <v>8</v>
      </c>
      <c r="B371" s="7">
        <v>46258</v>
      </c>
      <c r="C371" s="6" t="s">
        <v>29</v>
      </c>
      <c r="D371" s="6" t="s">
        <v>31</v>
      </c>
      <c r="E371" s="8">
        <v>100.1232</v>
      </c>
      <c r="F371" s="14">
        <v>100</v>
      </c>
      <c r="G371" s="14">
        <v>97.08682120313722</v>
      </c>
      <c r="H371" s="7">
        <v>48019</v>
      </c>
      <c r="I371" s="8">
        <v>100.12319999998593</v>
      </c>
      <c r="J371" s="15">
        <v>1.4068746168049984e-11</v>
      </c>
      <c r="K371" s="15">
        <v>0.016316585555102847</v>
      </c>
      <c r="L371" s="6" t="s">
        <v>55</v>
      </c>
      <c r="M371" s="16">
        <v>0.4</v>
      </c>
      <c r="N371" s="6" t="s">
        <v>56</v>
      </c>
      <c r="O371" s="17" t="s">
        <v>57</v>
      </c>
      <c r="P371" s="14"/>
      <c r="Q371" s="16"/>
      <c r="R371" s="9" t="s">
        <v>12</v>
      </c>
    </row>
  </sheetData>
  <autoFilter ref="A1:R1"/>
  <hyperlinks>
    <hyperlink ref="R365" r:id="rId1" tooltip="https://www.ice.com/cds-settlement-prices/icc/single-name-instruments"/>
    <hyperlink ref="R366" r:id="rId2" tooltip="https://www.ice.com/cds-settlement-prices/icc/single-name-instruments"/>
    <hyperlink ref="R367" r:id="rId3" tooltip="https://www.ice.com/cds-settlement-prices/icc/single-name-instruments"/>
    <hyperlink ref="R368" r:id="rId4" tooltip="https://www.ice.com/cds-settlement-prices/icc/single-name-instruments"/>
    <hyperlink ref="R369" r:id="rId5" tooltip="https://www.ice.com/cds-settlement-prices/icc/single-name-instruments"/>
    <hyperlink ref="R370" r:id="rId6" tooltip="https://www.ice.com/cds-settlement-prices/icc/single-name-instruments"/>
    <hyperlink ref="R371" r:id="rId7" tooltip="https://www.ice.com/cds-settlement-prices/icc/single-name-instruments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71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18" outlineLevelRow="0" outlineLevelCol="0" x14ac:dyDescent="55" customHeight="1"/>
  <cols>
    <col min="1" max="1" width="14" customWidth="1"/>
    <col min="2" max="2" width="16" customWidth="1"/>
    <col min="3" max="3" width="15" customWidth="1"/>
    <col min="4" max="7" width="14" customWidth="1"/>
    <col min="8" max="8" width="18" customWidth="1"/>
    <col min="9" max="9" width="24" customWidth="1"/>
    <col min="10" max="10" width="42" customWidth="1"/>
    <col min="11" max="11" width="18" customWidth="1"/>
  </cols>
  <sheetData>
    <row r="1" ht="28" customHeight="1" spans="1:11" x14ac:dyDescent="0.25">
      <c r="A1" s="1" t="s">
        <v>58</v>
      </c>
      <c r="B1" s="1" t="s">
        <v>2</v>
      </c>
      <c r="C1" s="1" t="s">
        <v>33</v>
      </c>
      <c r="D1" s="1" t="s">
        <v>59</v>
      </c>
      <c r="E1" s="1" t="s">
        <v>60</v>
      </c>
      <c r="F1" s="1" t="s">
        <v>61</v>
      </c>
      <c r="G1" s="1" t="s">
        <v>5</v>
      </c>
      <c r="H1" s="1" t="s">
        <v>41</v>
      </c>
      <c r="I1" s="1" t="s">
        <v>0</v>
      </c>
      <c r="J1" s="1" t="s">
        <v>4</v>
      </c>
      <c r="K1" s="1" t="s">
        <v>6</v>
      </c>
    </row>
    <row r="2" spans="1:11" x14ac:dyDescent="0.25">
      <c r="A2" s="3">
        <v>46183</v>
      </c>
      <c r="B2" s="2" t="s">
        <v>9</v>
      </c>
      <c r="C2" s="18">
        <f>'Derived 5Y Spreads'!G2</f>
        <v>160</v>
      </c>
      <c r="D2" s="19" t="str">
        <f>IFERROR(NA(),"")</f>
        <v/>
      </c>
      <c r="E2" s="19" t="str">
        <f>IFERROR(NA(),"")</f>
        <v/>
      </c>
      <c r="F2" s="19" t="str">
        <f>IFERROR(NA(),"")</f>
        <v/>
      </c>
      <c r="G2" s="20">
        <f>'Derived 5Y Spreads'!E2</f>
      </c>
      <c r="H2" s="21" t="str">
        <f>'Derived 5Y Spreads'!O2</f>
        <v>stale</v>
      </c>
      <c r="I2" s="22" t="str">
        <f>'Derived 5Y Spreads'!A2</f>
        <v>screenshot-reference-20260824-v1</v>
      </c>
      <c r="J2" s="22" t="str">
        <f>'Derived 5Y Spreads'!D2</f>
        <v>SCREENSHOT.ORCLE.5Y</v>
      </c>
      <c r="K2" s="5"/>
    </row>
    <row r="3" spans="1:11" x14ac:dyDescent="0.25">
      <c r="A3" s="7">
        <v>46183</v>
      </c>
      <c r="B3" s="6" t="s">
        <v>14</v>
      </c>
      <c r="C3" s="23">
        <f>'Derived 5Y Spreads'!G3</f>
        <v>510</v>
      </c>
      <c r="D3" s="24" t="str">
        <f>IFERROR(NA(),"")</f>
        <v/>
      </c>
      <c r="E3" s="24" t="str">
        <f>IFERROR(NA(),"")</f>
        <v/>
      </c>
      <c r="F3" s="24" t="str">
        <f>IFERROR(NA(),"")</f>
        <v/>
      </c>
      <c r="G3" s="25">
        <f>'Derived 5Y Spreads'!E3</f>
      </c>
      <c r="H3" s="21" t="str">
        <f>'Derived 5Y Spreads'!O3</f>
        <v>stale</v>
      </c>
      <c r="I3" s="26" t="str">
        <f>'Derived 5Y Spreads'!A3</f>
        <v>screenshot-reference-20260824-v1</v>
      </c>
      <c r="J3" s="26" t="str">
        <f>'Derived 5Y Spreads'!D3</f>
        <v>SCREENSHOT.COREWEI.5Y</v>
      </c>
      <c r="K3" s="9"/>
    </row>
    <row r="4" spans="1:11" x14ac:dyDescent="0.25">
      <c r="A4" s="3">
        <v>46183</v>
      </c>
      <c r="B4" s="2" t="s">
        <v>20</v>
      </c>
      <c r="C4" s="18">
        <f>'Derived 5Y Spreads'!G4</f>
        <v>51</v>
      </c>
      <c r="D4" s="19" t="str">
        <f>IFERROR(NA(),"")</f>
        <v/>
      </c>
      <c r="E4" s="19" t="str">
        <f>IFERROR(NA(),"")</f>
        <v/>
      </c>
      <c r="F4" s="19" t="str">
        <f>IFERROR(NA(),"")</f>
        <v/>
      </c>
      <c r="G4" s="20">
        <f>'Derived 5Y Spreads'!E4</f>
      </c>
      <c r="H4" s="21" t="str">
        <f>'Derived 5Y Spreads'!O4</f>
        <v>stale</v>
      </c>
      <c r="I4" s="22" t="str">
        <f>'Derived 5Y Spreads'!A4</f>
        <v>screenshot-reference-20260824-v1</v>
      </c>
      <c r="J4" s="22" t="str">
        <f>'Derived 5Y Spreads'!D4</f>
        <v>SCREENSHOT.AMZN.5Y</v>
      </c>
      <c r="K4" s="5"/>
    </row>
    <row r="5" spans="1:11" x14ac:dyDescent="0.25">
      <c r="A5" s="7">
        <v>46183</v>
      </c>
      <c r="B5" s="6" t="s">
        <v>23</v>
      </c>
      <c r="C5" s="23">
        <f>'Derived 5Y Spreads'!G5</f>
        <v>50</v>
      </c>
      <c r="D5" s="24" t="str">
        <f>IFERROR(NA(),"")</f>
        <v/>
      </c>
      <c r="E5" s="24" t="str">
        <f>IFERROR(NA(),"")</f>
        <v/>
      </c>
      <c r="F5" s="24" t="str">
        <f>IFERROR(NA(),"")</f>
        <v/>
      </c>
      <c r="G5" s="25">
        <f>'Derived 5Y Spreads'!E5</f>
      </c>
      <c r="H5" s="21" t="str">
        <f>'Derived 5Y Spreads'!O5</f>
        <v>stale</v>
      </c>
      <c r="I5" s="26" t="str">
        <f>'Derived 5Y Spreads'!A5</f>
        <v>screenshot-reference-20260824-v1</v>
      </c>
      <c r="J5" s="26" t="str">
        <f>'Derived 5Y Spreads'!D5</f>
        <v>SCREENSHOT.ALPHINC.5Y</v>
      </c>
      <c r="K5" s="9"/>
    </row>
    <row r="6" spans="1:11" x14ac:dyDescent="0.25">
      <c r="A6" s="3">
        <v>46183</v>
      </c>
      <c r="B6" s="2" t="s">
        <v>26</v>
      </c>
      <c r="C6" s="18">
        <f>'Derived 5Y Spreads'!G6</f>
        <v>39</v>
      </c>
      <c r="D6" s="19" t="str">
        <f>IFERROR(NA(),"")</f>
        <v/>
      </c>
      <c r="E6" s="19" t="str">
        <f>IFERROR(NA(),"")</f>
        <v/>
      </c>
      <c r="F6" s="19" t="str">
        <f>IFERROR(NA(),"")</f>
        <v/>
      </c>
      <c r="G6" s="20">
        <f>'Derived 5Y Spreads'!E6</f>
      </c>
      <c r="H6" s="21" t="str">
        <f>'Derived 5Y Spreads'!O6</f>
        <v>stale</v>
      </c>
      <c r="I6" s="22" t="str">
        <f>'Derived 5Y Spreads'!A6</f>
        <v>screenshot-reference-20260824-v1</v>
      </c>
      <c r="J6" s="22" t="str">
        <f>'Derived 5Y Spreads'!D6</f>
        <v>SCREENSHOT.MSFT.5Y</v>
      </c>
      <c r="K6" s="5"/>
    </row>
    <row r="7" spans="1:11" x14ac:dyDescent="0.25">
      <c r="A7" s="7">
        <v>46183</v>
      </c>
      <c r="B7" s="6" t="s">
        <v>29</v>
      </c>
      <c r="C7" s="23">
        <f>'Derived 5Y Spreads'!G7</f>
        <v>71</v>
      </c>
      <c r="D7" s="24" t="str">
        <f>IFERROR(NA(),"")</f>
        <v/>
      </c>
      <c r="E7" s="24" t="str">
        <f>IFERROR(NA(),"")</f>
        <v/>
      </c>
      <c r="F7" s="24" t="str">
        <f>IFERROR(NA(),"")</f>
        <v/>
      </c>
      <c r="G7" s="25">
        <f>'Derived 5Y Spreads'!E7</f>
      </c>
      <c r="H7" s="21" t="str">
        <f>'Derived 5Y Spreads'!O7</f>
        <v>stale</v>
      </c>
      <c r="I7" s="26" t="str">
        <f>'Derived 5Y Spreads'!A7</f>
        <v>screenshot-reference-20260824-v1</v>
      </c>
      <c r="J7" s="26" t="str">
        <f>'Derived 5Y Spreads'!D7</f>
        <v>SCREENSHOT.METAPL.5Y</v>
      </c>
      <c r="K7" s="9"/>
    </row>
    <row r="8" spans="1:11" x14ac:dyDescent="0.25">
      <c r="A8" s="3">
        <v>46184</v>
      </c>
      <c r="B8" s="2" t="s">
        <v>9</v>
      </c>
      <c r="C8" s="18">
        <f>'Derived 5Y Spreads'!G8</f>
        <v>158.8</v>
      </c>
      <c r="D8" s="19">
        <f>C8-'Derived 5Y Spreads'!G2</f>
        <v>-1.1999999999999886</v>
      </c>
      <c r="E8" s="19" t="str">
        <f>IFERROR(NA(),"")</f>
        <v/>
      </c>
      <c r="F8" s="19" t="str">
        <f>IFERROR(NA(),"")</f>
        <v/>
      </c>
      <c r="G8" s="20">
        <f>'Derived 5Y Spreads'!E8</f>
      </c>
      <c r="H8" s="21" t="str">
        <f>'Derived 5Y Spreads'!O8</f>
        <v>stale</v>
      </c>
      <c r="I8" s="22" t="str">
        <f>'Derived 5Y Spreads'!A8</f>
        <v>screenshot-reference-20260824-v1</v>
      </c>
      <c r="J8" s="22" t="str">
        <f>'Derived 5Y Spreads'!D8</f>
        <v>SCREENSHOT.ORCLE.5Y</v>
      </c>
      <c r="K8" s="5"/>
    </row>
    <row r="9" spans="1:11" x14ac:dyDescent="0.25">
      <c r="A9" s="7">
        <v>46184</v>
      </c>
      <c r="B9" s="6" t="s">
        <v>14</v>
      </c>
      <c r="C9" s="23">
        <f>'Derived 5Y Spreads'!G9</f>
        <v>505.71</v>
      </c>
      <c r="D9" s="24">
        <f>C9-'Derived 5Y Spreads'!G3</f>
        <v>-4.2900000000000205</v>
      </c>
      <c r="E9" s="24" t="str">
        <f>IFERROR(NA(),"")</f>
        <v/>
      </c>
      <c r="F9" s="24" t="str">
        <f>IFERROR(NA(),"")</f>
        <v/>
      </c>
      <c r="G9" s="25">
        <f>'Derived 5Y Spreads'!E9</f>
      </c>
      <c r="H9" s="21" t="str">
        <f>'Derived 5Y Spreads'!O9</f>
        <v>stale</v>
      </c>
      <c r="I9" s="26" t="str">
        <f>'Derived 5Y Spreads'!A9</f>
        <v>screenshot-reference-20260824-v1</v>
      </c>
      <c r="J9" s="26" t="str">
        <f>'Derived 5Y Spreads'!D9</f>
        <v>SCREENSHOT.COREWEI.5Y</v>
      </c>
      <c r="K9" s="9"/>
    </row>
    <row r="10" spans="1:11" x14ac:dyDescent="0.25">
      <c r="A10" s="3">
        <v>46184</v>
      </c>
      <c r="B10" s="2" t="s">
        <v>20</v>
      </c>
      <c r="C10" s="18">
        <f>'Derived 5Y Spreads'!G10</f>
        <v>50.86</v>
      </c>
      <c r="D10" s="19">
        <f>C10-'Derived 5Y Spreads'!G4</f>
        <v>-0.14000000000000057</v>
      </c>
      <c r="E10" s="19" t="str">
        <f>IFERROR(NA(),"")</f>
        <v/>
      </c>
      <c r="F10" s="19" t="str">
        <f>IFERROR(NA(),"")</f>
        <v/>
      </c>
      <c r="G10" s="20">
        <f>'Derived 5Y Spreads'!E10</f>
      </c>
      <c r="H10" s="21" t="str">
        <f>'Derived 5Y Spreads'!O10</f>
        <v>stale</v>
      </c>
      <c r="I10" s="22" t="str">
        <f>'Derived 5Y Spreads'!A10</f>
        <v>screenshot-reference-20260824-v1</v>
      </c>
      <c r="J10" s="22" t="str">
        <f>'Derived 5Y Spreads'!D10</f>
        <v>SCREENSHOT.AMZN.5Y</v>
      </c>
      <c r="K10" s="5"/>
    </row>
    <row r="11" spans="1:11" x14ac:dyDescent="0.25">
      <c r="A11" s="7">
        <v>46184</v>
      </c>
      <c r="B11" s="6" t="s">
        <v>23</v>
      </c>
      <c r="C11" s="23">
        <f>'Derived 5Y Spreads'!G11</f>
        <v>49.86</v>
      </c>
      <c r="D11" s="24">
        <f>C11-'Derived 5Y Spreads'!G5</f>
        <v>-0.14000000000000057</v>
      </c>
      <c r="E11" s="24" t="str">
        <f>IFERROR(NA(),"")</f>
        <v/>
      </c>
      <c r="F11" s="24" t="str">
        <f>IFERROR(NA(),"")</f>
        <v/>
      </c>
      <c r="G11" s="25">
        <f>'Derived 5Y Spreads'!E11</f>
      </c>
      <c r="H11" s="21" t="str">
        <f>'Derived 5Y Spreads'!O11</f>
        <v>stale</v>
      </c>
      <c r="I11" s="26" t="str">
        <f>'Derived 5Y Spreads'!A11</f>
        <v>screenshot-reference-20260824-v1</v>
      </c>
      <c r="J11" s="26" t="str">
        <f>'Derived 5Y Spreads'!D11</f>
        <v>SCREENSHOT.ALPHINC.5Y</v>
      </c>
      <c r="K11" s="9"/>
    </row>
    <row r="12" spans="1:11" x14ac:dyDescent="0.25">
      <c r="A12" s="3">
        <v>46184</v>
      </c>
      <c r="B12" s="2" t="s">
        <v>26</v>
      </c>
      <c r="C12" s="18">
        <f>'Derived 5Y Spreads'!G12</f>
        <v>38.86</v>
      </c>
      <c r="D12" s="19">
        <f>C12-'Derived 5Y Spreads'!G6</f>
        <v>-0.14000000000000057</v>
      </c>
      <c r="E12" s="19" t="str">
        <f>IFERROR(NA(),"")</f>
        <v/>
      </c>
      <c r="F12" s="19" t="str">
        <f>IFERROR(NA(),"")</f>
        <v/>
      </c>
      <c r="G12" s="20">
        <f>'Derived 5Y Spreads'!E12</f>
      </c>
      <c r="H12" s="21" t="str">
        <f>'Derived 5Y Spreads'!O12</f>
        <v>stale</v>
      </c>
      <c r="I12" s="22" t="str">
        <f>'Derived 5Y Spreads'!A12</f>
        <v>screenshot-reference-20260824-v1</v>
      </c>
      <c r="J12" s="22" t="str">
        <f>'Derived 5Y Spreads'!D12</f>
        <v>SCREENSHOT.MSFT.5Y</v>
      </c>
      <c r="K12" s="5"/>
    </row>
    <row r="13" spans="1:11" x14ac:dyDescent="0.25">
      <c r="A13" s="7">
        <v>46184</v>
      </c>
      <c r="B13" s="6" t="s">
        <v>29</v>
      </c>
      <c r="C13" s="23">
        <f>'Derived 5Y Spreads'!G13</f>
        <v>70.71</v>
      </c>
      <c r="D13" s="24">
        <f>C13-'Derived 5Y Spreads'!G7</f>
        <v>-0.29000000000000625</v>
      </c>
      <c r="E13" s="24" t="str">
        <f>IFERROR(NA(),"")</f>
        <v/>
      </c>
      <c r="F13" s="24" t="str">
        <f>IFERROR(NA(),"")</f>
        <v/>
      </c>
      <c r="G13" s="25">
        <f>'Derived 5Y Spreads'!E13</f>
      </c>
      <c r="H13" s="21" t="str">
        <f>'Derived 5Y Spreads'!O13</f>
        <v>stale</v>
      </c>
      <c r="I13" s="26" t="str">
        <f>'Derived 5Y Spreads'!A13</f>
        <v>screenshot-reference-20260824-v1</v>
      </c>
      <c r="J13" s="26" t="str">
        <f>'Derived 5Y Spreads'!D13</f>
        <v>SCREENSHOT.METAPL.5Y</v>
      </c>
      <c r="K13" s="9"/>
    </row>
    <row r="14" spans="1:11" x14ac:dyDescent="0.25">
      <c r="A14" s="3">
        <v>46185</v>
      </c>
      <c r="B14" s="2" t="s">
        <v>9</v>
      </c>
      <c r="C14" s="18">
        <f>'Derived 5Y Spreads'!G14</f>
        <v>157.6</v>
      </c>
      <c r="D14" s="19">
        <f>C14-'Derived 5Y Spreads'!G8</f>
        <v>-1.200000000000017</v>
      </c>
      <c r="E14" s="19" t="str">
        <f>IFERROR(NA(),"")</f>
        <v/>
      </c>
      <c r="F14" s="19" t="str">
        <f>IFERROR(NA(),"")</f>
        <v/>
      </c>
      <c r="G14" s="20">
        <f>'Derived 5Y Spreads'!E14</f>
      </c>
      <c r="H14" s="21" t="str">
        <f>'Derived 5Y Spreads'!O14</f>
        <v>stale</v>
      </c>
      <c r="I14" s="22" t="str">
        <f>'Derived 5Y Spreads'!A14</f>
        <v>screenshot-reference-20260824-v1</v>
      </c>
      <c r="J14" s="22" t="str">
        <f>'Derived 5Y Spreads'!D14</f>
        <v>SCREENSHOT.ORCLE.5Y</v>
      </c>
      <c r="K14" s="5"/>
    </row>
    <row r="15" spans="1:11" x14ac:dyDescent="0.25">
      <c r="A15" s="7">
        <v>46185</v>
      </c>
      <c r="B15" s="6" t="s">
        <v>14</v>
      </c>
      <c r="C15" s="23">
        <f>'Derived 5Y Spreads'!G15</f>
        <v>501.43</v>
      </c>
      <c r="D15" s="24">
        <f>C15-'Derived 5Y Spreads'!G9</f>
        <v>-4.279999999999973</v>
      </c>
      <c r="E15" s="24" t="str">
        <f>IFERROR(NA(),"")</f>
        <v/>
      </c>
      <c r="F15" s="24" t="str">
        <f>IFERROR(NA(),"")</f>
        <v/>
      </c>
      <c r="G15" s="25">
        <f>'Derived 5Y Spreads'!E15</f>
      </c>
      <c r="H15" s="21" t="str">
        <f>'Derived 5Y Spreads'!O15</f>
        <v>stale</v>
      </c>
      <c r="I15" s="26" t="str">
        <f>'Derived 5Y Spreads'!A15</f>
        <v>screenshot-reference-20260824-v1</v>
      </c>
      <c r="J15" s="26" t="str">
        <f>'Derived 5Y Spreads'!D15</f>
        <v>SCREENSHOT.COREWEI.5Y</v>
      </c>
      <c r="K15" s="9"/>
    </row>
    <row r="16" spans="1:11" x14ac:dyDescent="0.25">
      <c r="A16" s="3">
        <v>46185</v>
      </c>
      <c r="B16" s="2" t="s">
        <v>20</v>
      </c>
      <c r="C16" s="18">
        <f>'Derived 5Y Spreads'!G16</f>
        <v>50.71</v>
      </c>
      <c r="D16" s="19">
        <f>C16-'Derived 5Y Spreads'!G10</f>
        <v>-0.14999999999999858</v>
      </c>
      <c r="E16" s="19" t="str">
        <f>IFERROR(NA(),"")</f>
        <v/>
      </c>
      <c r="F16" s="19" t="str">
        <f>IFERROR(NA(),"")</f>
        <v/>
      </c>
      <c r="G16" s="20">
        <f>'Derived 5Y Spreads'!E16</f>
      </c>
      <c r="H16" s="21" t="str">
        <f>'Derived 5Y Spreads'!O16</f>
        <v>stale</v>
      </c>
      <c r="I16" s="22" t="str">
        <f>'Derived 5Y Spreads'!A16</f>
        <v>screenshot-reference-20260824-v1</v>
      </c>
      <c r="J16" s="22" t="str">
        <f>'Derived 5Y Spreads'!D16</f>
        <v>SCREENSHOT.AMZN.5Y</v>
      </c>
      <c r="K16" s="5"/>
    </row>
    <row r="17" spans="1:11" x14ac:dyDescent="0.25">
      <c r="A17" s="7">
        <v>46185</v>
      </c>
      <c r="B17" s="6" t="s">
        <v>23</v>
      </c>
      <c r="C17" s="23">
        <f>'Derived 5Y Spreads'!G17</f>
        <v>49.71</v>
      </c>
      <c r="D17" s="24">
        <f>C17-'Derived 5Y Spreads'!G11</f>
        <v>-0.14999999999999858</v>
      </c>
      <c r="E17" s="24" t="str">
        <f>IFERROR(NA(),"")</f>
        <v/>
      </c>
      <c r="F17" s="24" t="str">
        <f>IFERROR(NA(),"")</f>
        <v/>
      </c>
      <c r="G17" s="25">
        <f>'Derived 5Y Spreads'!E17</f>
      </c>
      <c r="H17" s="21" t="str">
        <f>'Derived 5Y Spreads'!O17</f>
        <v>stale</v>
      </c>
      <c r="I17" s="26" t="str">
        <f>'Derived 5Y Spreads'!A17</f>
        <v>screenshot-reference-20260824-v1</v>
      </c>
      <c r="J17" s="26" t="str">
        <f>'Derived 5Y Spreads'!D17</f>
        <v>SCREENSHOT.ALPHINC.5Y</v>
      </c>
      <c r="K17" s="9"/>
    </row>
    <row r="18" spans="1:11" x14ac:dyDescent="0.25">
      <c r="A18" s="3">
        <v>46185</v>
      </c>
      <c r="B18" s="2" t="s">
        <v>26</v>
      </c>
      <c r="C18" s="18">
        <f>'Derived 5Y Spreads'!G18</f>
        <v>38.71</v>
      </c>
      <c r="D18" s="19">
        <f>C18-'Derived 5Y Spreads'!G12</f>
        <v>-0.14999999999999858</v>
      </c>
      <c r="E18" s="19" t="str">
        <f>IFERROR(NA(),"")</f>
        <v/>
      </c>
      <c r="F18" s="19" t="str">
        <f>IFERROR(NA(),"")</f>
        <v/>
      </c>
      <c r="G18" s="20">
        <f>'Derived 5Y Spreads'!E18</f>
      </c>
      <c r="H18" s="21" t="str">
        <f>'Derived 5Y Spreads'!O18</f>
        <v>stale</v>
      </c>
      <c r="I18" s="22" t="str">
        <f>'Derived 5Y Spreads'!A18</f>
        <v>screenshot-reference-20260824-v1</v>
      </c>
      <c r="J18" s="22" t="str">
        <f>'Derived 5Y Spreads'!D18</f>
        <v>SCREENSHOT.MSFT.5Y</v>
      </c>
      <c r="K18" s="5"/>
    </row>
    <row r="19" spans="1:11" x14ac:dyDescent="0.25">
      <c r="A19" s="7">
        <v>46185</v>
      </c>
      <c r="B19" s="6" t="s">
        <v>29</v>
      </c>
      <c r="C19" s="23">
        <f>'Derived 5Y Spreads'!G19</f>
        <v>70.43</v>
      </c>
      <c r="D19" s="24">
        <f>C19-'Derived 5Y Spreads'!G13</f>
        <v>-0.2799999999999869</v>
      </c>
      <c r="E19" s="24" t="str">
        <f>IFERROR(NA(),"")</f>
        <v/>
      </c>
      <c r="F19" s="24" t="str">
        <f>IFERROR(NA(),"")</f>
        <v/>
      </c>
      <c r="G19" s="25">
        <f>'Derived 5Y Spreads'!E19</f>
      </c>
      <c r="H19" s="21" t="str">
        <f>'Derived 5Y Spreads'!O19</f>
        <v>stale</v>
      </c>
      <c r="I19" s="26" t="str">
        <f>'Derived 5Y Spreads'!A19</f>
        <v>screenshot-reference-20260824-v1</v>
      </c>
      <c r="J19" s="26" t="str">
        <f>'Derived 5Y Spreads'!D19</f>
        <v>SCREENSHOT.METAPL.5Y</v>
      </c>
      <c r="K19" s="9"/>
    </row>
    <row r="20" spans="1:11" x14ac:dyDescent="0.25">
      <c r="A20" s="3">
        <v>46188</v>
      </c>
      <c r="B20" s="2" t="s">
        <v>9</v>
      </c>
      <c r="C20" s="18">
        <f>'Derived 5Y Spreads'!G20</f>
        <v>154</v>
      </c>
      <c r="D20" s="19">
        <f>C20-'Derived 5Y Spreads'!G14</f>
        <v>-3.5999999999999943</v>
      </c>
      <c r="E20" s="19" t="str">
        <f>IFERROR(NA(),"")</f>
        <v/>
      </c>
      <c r="F20" s="19" t="str">
        <f>IFERROR(NA(),"")</f>
        <v/>
      </c>
      <c r="G20" s="20">
        <f>'Derived 5Y Spreads'!E20</f>
      </c>
      <c r="H20" s="21" t="str">
        <f>'Derived 5Y Spreads'!O20</f>
        <v>stale</v>
      </c>
      <c r="I20" s="22" t="str">
        <f>'Derived 5Y Spreads'!A20</f>
        <v>screenshot-reference-20260824-v1</v>
      </c>
      <c r="J20" s="22" t="str">
        <f>'Derived 5Y Spreads'!D20</f>
        <v>SCREENSHOT.ORCLE.5Y</v>
      </c>
      <c r="K20" s="5"/>
    </row>
    <row r="21" spans="1:11" x14ac:dyDescent="0.25">
      <c r="A21" s="7">
        <v>46188</v>
      </c>
      <c r="B21" s="6" t="s">
        <v>14</v>
      </c>
      <c r="C21" s="23">
        <f>'Derived 5Y Spreads'!G21</f>
        <v>488.57</v>
      </c>
      <c r="D21" s="24">
        <f>C21-'Derived 5Y Spreads'!G15</f>
        <v>-12.860000000000014</v>
      </c>
      <c r="E21" s="24" t="str">
        <f>IFERROR(NA(),"")</f>
        <v/>
      </c>
      <c r="F21" s="24" t="str">
        <f>IFERROR(NA(),"")</f>
        <v/>
      </c>
      <c r="G21" s="25">
        <f>'Derived 5Y Spreads'!E21</f>
      </c>
      <c r="H21" s="21" t="str">
        <f>'Derived 5Y Spreads'!O21</f>
        <v>stale</v>
      </c>
      <c r="I21" s="26" t="str">
        <f>'Derived 5Y Spreads'!A21</f>
        <v>screenshot-reference-20260824-v1</v>
      </c>
      <c r="J21" s="26" t="str">
        <f>'Derived 5Y Spreads'!D21</f>
        <v>SCREENSHOT.COREWEI.5Y</v>
      </c>
      <c r="K21" s="9"/>
    </row>
    <row r="22" spans="1:11" x14ac:dyDescent="0.25">
      <c r="A22" s="3">
        <v>46188</v>
      </c>
      <c r="B22" s="2" t="s">
        <v>20</v>
      </c>
      <c r="C22" s="18">
        <f>'Derived 5Y Spreads'!G22</f>
        <v>50.29</v>
      </c>
      <c r="D22" s="19">
        <f>C22-'Derived 5Y Spreads'!G16</f>
        <v>-0.4200000000000017</v>
      </c>
      <c r="E22" s="19" t="str">
        <f>IFERROR(NA(),"")</f>
        <v/>
      </c>
      <c r="F22" s="19" t="str">
        <f>IFERROR(NA(),"")</f>
        <v/>
      </c>
      <c r="G22" s="20">
        <f>'Derived 5Y Spreads'!E22</f>
      </c>
      <c r="H22" s="21" t="str">
        <f>'Derived 5Y Spreads'!O22</f>
        <v>stale</v>
      </c>
      <c r="I22" s="22" t="str">
        <f>'Derived 5Y Spreads'!A22</f>
        <v>screenshot-reference-20260824-v1</v>
      </c>
      <c r="J22" s="22" t="str">
        <f>'Derived 5Y Spreads'!D22</f>
        <v>SCREENSHOT.AMZN.5Y</v>
      </c>
      <c r="K22" s="5"/>
    </row>
    <row r="23" spans="1:11" x14ac:dyDescent="0.25">
      <c r="A23" s="7">
        <v>46188</v>
      </c>
      <c r="B23" s="6" t="s">
        <v>23</v>
      </c>
      <c r="C23" s="23">
        <f>'Derived 5Y Spreads'!G23</f>
        <v>49.29</v>
      </c>
      <c r="D23" s="24">
        <f>C23-'Derived 5Y Spreads'!G17</f>
        <v>-0.4200000000000017</v>
      </c>
      <c r="E23" s="24" t="str">
        <f>IFERROR(NA(),"")</f>
        <v/>
      </c>
      <c r="F23" s="24" t="str">
        <f>IFERROR(NA(),"")</f>
        <v/>
      </c>
      <c r="G23" s="25">
        <f>'Derived 5Y Spreads'!E23</f>
      </c>
      <c r="H23" s="21" t="str">
        <f>'Derived 5Y Spreads'!O23</f>
        <v>stale</v>
      </c>
      <c r="I23" s="26" t="str">
        <f>'Derived 5Y Spreads'!A23</f>
        <v>screenshot-reference-20260824-v1</v>
      </c>
      <c r="J23" s="26" t="str">
        <f>'Derived 5Y Spreads'!D23</f>
        <v>SCREENSHOT.ALPHINC.5Y</v>
      </c>
      <c r="K23" s="9"/>
    </row>
    <row r="24" spans="1:11" x14ac:dyDescent="0.25">
      <c r="A24" s="3">
        <v>46188</v>
      </c>
      <c r="B24" s="2" t="s">
        <v>26</v>
      </c>
      <c r="C24" s="18">
        <f>'Derived 5Y Spreads'!G24</f>
        <v>38.29</v>
      </c>
      <c r="D24" s="19">
        <f>C24-'Derived 5Y Spreads'!G18</f>
        <v>-0.4200000000000017</v>
      </c>
      <c r="E24" s="19" t="str">
        <f>IFERROR(NA(),"")</f>
        <v/>
      </c>
      <c r="F24" s="19" t="str">
        <f>IFERROR(NA(),"")</f>
        <v/>
      </c>
      <c r="G24" s="20">
        <f>'Derived 5Y Spreads'!E24</f>
      </c>
      <c r="H24" s="21" t="str">
        <f>'Derived 5Y Spreads'!O24</f>
        <v>stale</v>
      </c>
      <c r="I24" s="22" t="str">
        <f>'Derived 5Y Spreads'!A24</f>
        <v>screenshot-reference-20260824-v1</v>
      </c>
      <c r="J24" s="22" t="str">
        <f>'Derived 5Y Spreads'!D24</f>
        <v>SCREENSHOT.MSFT.5Y</v>
      </c>
      <c r="K24" s="5"/>
    </row>
    <row r="25" spans="1:11" x14ac:dyDescent="0.25">
      <c r="A25" s="7">
        <v>46188</v>
      </c>
      <c r="B25" s="6" t="s">
        <v>29</v>
      </c>
      <c r="C25" s="23">
        <f>'Derived 5Y Spreads'!G25</f>
        <v>69.57</v>
      </c>
      <c r="D25" s="24">
        <f>C25-'Derived 5Y Spreads'!G19</f>
        <v>-0.8600000000000136</v>
      </c>
      <c r="E25" s="24" t="str">
        <f>IFERROR(NA(),"")</f>
        <v/>
      </c>
      <c r="F25" s="24" t="str">
        <f>IFERROR(NA(),"")</f>
        <v/>
      </c>
      <c r="G25" s="25">
        <f>'Derived 5Y Spreads'!E25</f>
      </c>
      <c r="H25" s="21" t="str">
        <f>'Derived 5Y Spreads'!O25</f>
        <v>stale</v>
      </c>
      <c r="I25" s="26" t="str">
        <f>'Derived 5Y Spreads'!A25</f>
        <v>screenshot-reference-20260824-v1</v>
      </c>
      <c r="J25" s="26" t="str">
        <f>'Derived 5Y Spreads'!D25</f>
        <v>SCREENSHOT.METAPL.5Y</v>
      </c>
      <c r="K25" s="9"/>
    </row>
    <row r="26" spans="1:11" x14ac:dyDescent="0.25">
      <c r="A26" s="3">
        <v>46189</v>
      </c>
      <c r="B26" s="2" t="s">
        <v>9</v>
      </c>
      <c r="C26" s="18">
        <f>'Derived 5Y Spreads'!G26</f>
        <v>154.86</v>
      </c>
      <c r="D26" s="19">
        <f>C26-'Derived 5Y Spreads'!G20</f>
        <v>0.8600000000000136</v>
      </c>
      <c r="E26" s="19" t="str">
        <f>IFERROR(NA(),"")</f>
        <v/>
      </c>
      <c r="F26" s="19" t="str">
        <f>IFERROR(NA(),"")</f>
        <v/>
      </c>
      <c r="G26" s="20">
        <f>'Derived 5Y Spreads'!E26</f>
      </c>
      <c r="H26" s="21" t="str">
        <f>'Derived 5Y Spreads'!O26</f>
        <v>stale</v>
      </c>
      <c r="I26" s="22" t="str">
        <f>'Derived 5Y Spreads'!A26</f>
        <v>screenshot-reference-20260824-v1</v>
      </c>
      <c r="J26" s="22" t="str">
        <f>'Derived 5Y Spreads'!D26</f>
        <v>SCREENSHOT.ORCLE.5Y</v>
      </c>
      <c r="K26" s="5"/>
    </row>
    <row r="27" spans="1:11" x14ac:dyDescent="0.25">
      <c r="A27" s="7">
        <v>46189</v>
      </c>
      <c r="B27" s="6" t="s">
        <v>14</v>
      </c>
      <c r="C27" s="23">
        <f>'Derived 5Y Spreads'!G27</f>
        <v>484.29</v>
      </c>
      <c r="D27" s="24">
        <f>C27-'Derived 5Y Spreads'!G21</f>
        <v>-4.279999999999973</v>
      </c>
      <c r="E27" s="24" t="str">
        <f>IFERROR(NA(),"")</f>
        <v/>
      </c>
      <c r="F27" s="24" t="str">
        <f>IFERROR(NA(),"")</f>
        <v/>
      </c>
      <c r="G27" s="25">
        <f>'Derived 5Y Spreads'!E27</f>
      </c>
      <c r="H27" s="21" t="str">
        <f>'Derived 5Y Spreads'!O27</f>
        <v>stale</v>
      </c>
      <c r="I27" s="26" t="str">
        <f>'Derived 5Y Spreads'!A27</f>
        <v>screenshot-reference-20260824-v1</v>
      </c>
      <c r="J27" s="26" t="str">
        <f>'Derived 5Y Spreads'!D27</f>
        <v>SCREENSHOT.COREWEI.5Y</v>
      </c>
      <c r="K27" s="9"/>
    </row>
    <row r="28" spans="1:11" x14ac:dyDescent="0.25">
      <c r="A28" s="3">
        <v>46189</v>
      </c>
      <c r="B28" s="2" t="s">
        <v>20</v>
      </c>
      <c r="C28" s="18">
        <f>'Derived 5Y Spreads'!G28</f>
        <v>50.14</v>
      </c>
      <c r="D28" s="19">
        <f>C28-'Derived 5Y Spreads'!G22</f>
        <v>-0.14999999999999858</v>
      </c>
      <c r="E28" s="19" t="str">
        <f>IFERROR(NA(),"")</f>
        <v/>
      </c>
      <c r="F28" s="19" t="str">
        <f>IFERROR(NA(),"")</f>
        <v/>
      </c>
      <c r="G28" s="20">
        <f>'Derived 5Y Spreads'!E28</f>
      </c>
      <c r="H28" s="21" t="str">
        <f>'Derived 5Y Spreads'!O28</f>
        <v>stale</v>
      </c>
      <c r="I28" s="22" t="str">
        <f>'Derived 5Y Spreads'!A28</f>
        <v>screenshot-reference-20260824-v1</v>
      </c>
      <c r="J28" s="22" t="str">
        <f>'Derived 5Y Spreads'!D28</f>
        <v>SCREENSHOT.AMZN.5Y</v>
      </c>
      <c r="K28" s="5"/>
    </row>
    <row r="29" spans="1:11" x14ac:dyDescent="0.25">
      <c r="A29" s="7">
        <v>46189</v>
      </c>
      <c r="B29" s="6" t="s">
        <v>23</v>
      </c>
      <c r="C29" s="23">
        <f>'Derived 5Y Spreads'!G29</f>
        <v>49.14</v>
      </c>
      <c r="D29" s="24">
        <f>C29-'Derived 5Y Spreads'!G23</f>
        <v>-0.14999999999999858</v>
      </c>
      <c r="E29" s="24" t="str">
        <f>IFERROR(NA(),"")</f>
        <v/>
      </c>
      <c r="F29" s="24" t="str">
        <f>IFERROR(NA(),"")</f>
        <v/>
      </c>
      <c r="G29" s="25">
        <f>'Derived 5Y Spreads'!E29</f>
      </c>
      <c r="H29" s="21" t="str">
        <f>'Derived 5Y Spreads'!O29</f>
        <v>stale</v>
      </c>
      <c r="I29" s="26" t="str">
        <f>'Derived 5Y Spreads'!A29</f>
        <v>screenshot-reference-20260824-v1</v>
      </c>
      <c r="J29" s="26" t="str">
        <f>'Derived 5Y Spreads'!D29</f>
        <v>SCREENSHOT.ALPHINC.5Y</v>
      </c>
      <c r="K29" s="9"/>
    </row>
    <row r="30" spans="1:11" x14ac:dyDescent="0.25">
      <c r="A30" s="3">
        <v>46189</v>
      </c>
      <c r="B30" s="2" t="s">
        <v>26</v>
      </c>
      <c r="C30" s="18">
        <f>'Derived 5Y Spreads'!G30</f>
        <v>38.14</v>
      </c>
      <c r="D30" s="19">
        <f>C30-'Derived 5Y Spreads'!G24</f>
        <v>-0.14999999999999858</v>
      </c>
      <c r="E30" s="19" t="str">
        <f>IFERROR(NA(),"")</f>
        <v/>
      </c>
      <c r="F30" s="19" t="str">
        <f>IFERROR(NA(),"")</f>
        <v/>
      </c>
      <c r="G30" s="20">
        <f>'Derived 5Y Spreads'!E30</f>
      </c>
      <c r="H30" s="21" t="str">
        <f>'Derived 5Y Spreads'!O30</f>
        <v>stale</v>
      </c>
      <c r="I30" s="22" t="str">
        <f>'Derived 5Y Spreads'!A30</f>
        <v>screenshot-reference-20260824-v1</v>
      </c>
      <c r="J30" s="22" t="str">
        <f>'Derived 5Y Spreads'!D30</f>
        <v>SCREENSHOT.MSFT.5Y</v>
      </c>
      <c r="K30" s="5"/>
    </row>
    <row r="31" spans="1:11" x14ac:dyDescent="0.25">
      <c r="A31" s="7">
        <v>46189</v>
      </c>
      <c r="B31" s="6" t="s">
        <v>29</v>
      </c>
      <c r="C31" s="23">
        <f>'Derived 5Y Spreads'!G31</f>
        <v>69.29</v>
      </c>
      <c r="D31" s="24">
        <f>C31-'Derived 5Y Spreads'!G25</f>
        <v>-0.2799999999999869</v>
      </c>
      <c r="E31" s="24" t="str">
        <f>IFERROR(NA(),"")</f>
        <v/>
      </c>
      <c r="F31" s="24" t="str">
        <f>IFERROR(NA(),"")</f>
        <v/>
      </c>
      <c r="G31" s="25">
        <f>'Derived 5Y Spreads'!E31</f>
      </c>
      <c r="H31" s="21" t="str">
        <f>'Derived 5Y Spreads'!O31</f>
        <v>stale</v>
      </c>
      <c r="I31" s="26" t="str">
        <f>'Derived 5Y Spreads'!A31</f>
        <v>screenshot-reference-20260824-v1</v>
      </c>
      <c r="J31" s="26" t="str">
        <f>'Derived 5Y Spreads'!D31</f>
        <v>SCREENSHOT.METAPL.5Y</v>
      </c>
      <c r="K31" s="9"/>
    </row>
    <row r="32" spans="1:11" x14ac:dyDescent="0.25">
      <c r="A32" s="3">
        <v>46190</v>
      </c>
      <c r="B32" s="2" t="s">
        <v>9</v>
      </c>
      <c r="C32" s="18">
        <f>'Derived 5Y Spreads'!G32</f>
        <v>155.71</v>
      </c>
      <c r="D32" s="19">
        <f>C32-'Derived 5Y Spreads'!G26</f>
        <v>0.8499999999999943</v>
      </c>
      <c r="E32" s="19">
        <f>C32-'Derived 5Y Spreads'!G2</f>
        <v>-4.289999999999992</v>
      </c>
      <c r="F32" s="19" t="str">
        <f>IFERROR(NA(),"")</f>
        <v/>
      </c>
      <c r="G32" s="20">
        <f>'Derived 5Y Spreads'!E32</f>
      </c>
      <c r="H32" s="21" t="str">
        <f>'Derived 5Y Spreads'!O32</f>
        <v>stale</v>
      </c>
      <c r="I32" s="22" t="str">
        <f>'Derived 5Y Spreads'!A32</f>
        <v>screenshot-reference-20260824-v1</v>
      </c>
      <c r="J32" s="22" t="str">
        <f>'Derived 5Y Spreads'!D32</f>
        <v>SCREENSHOT.ORCLE.5Y</v>
      </c>
      <c r="K32" s="5"/>
    </row>
    <row r="33" spans="1:11" x14ac:dyDescent="0.25">
      <c r="A33" s="7">
        <v>46190</v>
      </c>
      <c r="B33" s="6" t="s">
        <v>14</v>
      </c>
      <c r="C33" s="23">
        <f>'Derived 5Y Spreads'!G33</f>
        <v>480</v>
      </c>
      <c r="D33" s="24">
        <f>C33-'Derived 5Y Spreads'!G27</f>
        <v>-4.2900000000000205</v>
      </c>
      <c r="E33" s="24">
        <f>C33-'Derived 5Y Spreads'!G3</f>
        <v>-30</v>
      </c>
      <c r="F33" s="24" t="str">
        <f>IFERROR(NA(),"")</f>
        <v/>
      </c>
      <c r="G33" s="25">
        <f>'Derived 5Y Spreads'!E33</f>
      </c>
      <c r="H33" s="21" t="str">
        <f>'Derived 5Y Spreads'!O33</f>
        <v>stale</v>
      </c>
      <c r="I33" s="26" t="str">
        <f>'Derived 5Y Spreads'!A33</f>
        <v>screenshot-reference-20260824-v1</v>
      </c>
      <c r="J33" s="26" t="str">
        <f>'Derived 5Y Spreads'!D33</f>
        <v>SCREENSHOT.COREWEI.5Y</v>
      </c>
      <c r="K33" s="9"/>
    </row>
    <row r="34" spans="1:11" x14ac:dyDescent="0.25">
      <c r="A34" s="3">
        <v>46190</v>
      </c>
      <c r="B34" s="2" t="s">
        <v>20</v>
      </c>
      <c r="C34" s="18">
        <f>'Derived 5Y Spreads'!G34</f>
        <v>50</v>
      </c>
      <c r="D34" s="19">
        <f>C34-'Derived 5Y Spreads'!G28</f>
        <v>-0.14000000000000057</v>
      </c>
      <c r="E34" s="19">
        <f>C34-'Derived 5Y Spreads'!G4</f>
        <v>-1</v>
      </c>
      <c r="F34" s="19" t="str">
        <f>IFERROR(NA(),"")</f>
        <v/>
      </c>
      <c r="G34" s="20">
        <f>'Derived 5Y Spreads'!E34</f>
      </c>
      <c r="H34" s="21" t="str">
        <f>'Derived 5Y Spreads'!O34</f>
        <v>stale</v>
      </c>
      <c r="I34" s="22" t="str">
        <f>'Derived 5Y Spreads'!A34</f>
        <v>screenshot-reference-20260824-v1</v>
      </c>
      <c r="J34" s="22" t="str">
        <f>'Derived 5Y Spreads'!D34</f>
        <v>SCREENSHOT.AMZN.5Y</v>
      </c>
      <c r="K34" s="5"/>
    </row>
    <row r="35" spans="1:11" x14ac:dyDescent="0.25">
      <c r="A35" s="7">
        <v>46190</v>
      </c>
      <c r="B35" s="6" t="s">
        <v>23</v>
      </c>
      <c r="C35" s="23">
        <f>'Derived 5Y Spreads'!G35</f>
        <v>49</v>
      </c>
      <c r="D35" s="24">
        <f>C35-'Derived 5Y Spreads'!G29</f>
        <v>-0.14000000000000057</v>
      </c>
      <c r="E35" s="24">
        <f>C35-'Derived 5Y Spreads'!G5</f>
        <v>-1</v>
      </c>
      <c r="F35" s="24" t="str">
        <f>IFERROR(NA(),"")</f>
        <v/>
      </c>
      <c r="G35" s="25">
        <f>'Derived 5Y Spreads'!E35</f>
      </c>
      <c r="H35" s="21" t="str">
        <f>'Derived 5Y Spreads'!O35</f>
        <v>stale</v>
      </c>
      <c r="I35" s="26" t="str">
        <f>'Derived 5Y Spreads'!A35</f>
        <v>screenshot-reference-20260824-v1</v>
      </c>
      <c r="J35" s="26" t="str">
        <f>'Derived 5Y Spreads'!D35</f>
        <v>SCREENSHOT.ALPHINC.5Y</v>
      </c>
      <c r="K35" s="9"/>
    </row>
    <row r="36" spans="1:11" x14ac:dyDescent="0.25">
      <c r="A36" s="3">
        <v>46190</v>
      </c>
      <c r="B36" s="2" t="s">
        <v>26</v>
      </c>
      <c r="C36" s="18">
        <f>'Derived 5Y Spreads'!G36</f>
        <v>38</v>
      </c>
      <c r="D36" s="19">
        <f>C36-'Derived 5Y Spreads'!G30</f>
        <v>-0.14000000000000057</v>
      </c>
      <c r="E36" s="19">
        <f>C36-'Derived 5Y Spreads'!G6</f>
        <v>-1</v>
      </c>
      <c r="F36" s="19" t="str">
        <f>IFERROR(NA(),"")</f>
        <v/>
      </c>
      <c r="G36" s="20">
        <f>'Derived 5Y Spreads'!E36</f>
      </c>
      <c r="H36" s="21" t="str">
        <f>'Derived 5Y Spreads'!O36</f>
        <v>stale</v>
      </c>
      <c r="I36" s="22" t="str">
        <f>'Derived 5Y Spreads'!A36</f>
        <v>screenshot-reference-20260824-v1</v>
      </c>
      <c r="J36" s="22" t="str">
        <f>'Derived 5Y Spreads'!D36</f>
        <v>SCREENSHOT.MSFT.5Y</v>
      </c>
      <c r="K36" s="5"/>
    </row>
    <row r="37" spans="1:11" x14ac:dyDescent="0.25">
      <c r="A37" s="7">
        <v>46190</v>
      </c>
      <c r="B37" s="6" t="s">
        <v>29</v>
      </c>
      <c r="C37" s="23">
        <f>'Derived 5Y Spreads'!G37</f>
        <v>69</v>
      </c>
      <c r="D37" s="24">
        <f>C37-'Derived 5Y Spreads'!G31</f>
        <v>-0.29000000000000625</v>
      </c>
      <c r="E37" s="24">
        <f>C37-'Derived 5Y Spreads'!G7</f>
        <v>-2</v>
      </c>
      <c r="F37" s="24" t="str">
        <f>IFERROR(NA(),"")</f>
        <v/>
      </c>
      <c r="G37" s="25">
        <f>'Derived 5Y Spreads'!E37</f>
      </c>
      <c r="H37" s="21" t="str">
        <f>'Derived 5Y Spreads'!O37</f>
        <v>stale</v>
      </c>
      <c r="I37" s="26" t="str">
        <f>'Derived 5Y Spreads'!A37</f>
        <v>screenshot-reference-20260824-v1</v>
      </c>
      <c r="J37" s="26" t="str">
        <f>'Derived 5Y Spreads'!D37</f>
        <v>SCREENSHOT.METAPL.5Y</v>
      </c>
      <c r="K37" s="9"/>
    </row>
    <row r="38" spans="1:11" x14ac:dyDescent="0.25">
      <c r="A38" s="3">
        <v>46191</v>
      </c>
      <c r="B38" s="2" t="s">
        <v>9</v>
      </c>
      <c r="C38" s="18">
        <f>'Derived 5Y Spreads'!G38</f>
        <v>156.57</v>
      </c>
      <c r="D38" s="19">
        <f>C38-'Derived 5Y Spreads'!G32</f>
        <v>0.8599999999999852</v>
      </c>
      <c r="E38" s="19">
        <f>C38-'Derived 5Y Spreads'!G8</f>
        <v>-2.230000000000018</v>
      </c>
      <c r="F38" s="19" t="str">
        <f>IFERROR(NA(),"")</f>
        <v/>
      </c>
      <c r="G38" s="20">
        <f>'Derived 5Y Spreads'!E38</f>
      </c>
      <c r="H38" s="21" t="str">
        <f>'Derived 5Y Spreads'!O38</f>
        <v>stale</v>
      </c>
      <c r="I38" s="22" t="str">
        <f>'Derived 5Y Spreads'!A38</f>
        <v>screenshot-reference-20260824-v1</v>
      </c>
      <c r="J38" s="22" t="str">
        <f>'Derived 5Y Spreads'!D38</f>
        <v>SCREENSHOT.ORCLE.5Y</v>
      </c>
      <c r="K38" s="5"/>
    </row>
    <row r="39" spans="1:11" x14ac:dyDescent="0.25">
      <c r="A39" s="7">
        <v>46191</v>
      </c>
      <c r="B39" s="6" t="s">
        <v>14</v>
      </c>
      <c r="C39" s="23">
        <f>'Derived 5Y Spreads'!G39</f>
        <v>490.71</v>
      </c>
      <c r="D39" s="24">
        <f>C39-'Derived 5Y Spreads'!G33</f>
        <v>10.70999999999998</v>
      </c>
      <c r="E39" s="24">
        <f>C39-'Derived 5Y Spreads'!G9</f>
        <v>-15</v>
      </c>
      <c r="F39" s="24" t="str">
        <f>IFERROR(NA(),"")</f>
        <v/>
      </c>
      <c r="G39" s="25">
        <f>'Derived 5Y Spreads'!E39</f>
      </c>
      <c r="H39" s="21" t="str">
        <f>'Derived 5Y Spreads'!O39</f>
        <v>stale</v>
      </c>
      <c r="I39" s="26" t="str">
        <f>'Derived 5Y Spreads'!A39</f>
        <v>screenshot-reference-20260824-v1</v>
      </c>
      <c r="J39" s="26" t="str">
        <f>'Derived 5Y Spreads'!D39</f>
        <v>SCREENSHOT.COREWEI.5Y</v>
      </c>
      <c r="K39" s="9"/>
    </row>
    <row r="40" spans="1:11" x14ac:dyDescent="0.25">
      <c r="A40" s="3">
        <v>46191</v>
      </c>
      <c r="B40" s="2" t="s">
        <v>20</v>
      </c>
      <c r="C40" s="18">
        <f>'Derived 5Y Spreads'!G40</f>
        <v>50.57</v>
      </c>
      <c r="D40" s="19">
        <f>C40-'Derived 5Y Spreads'!G34</f>
        <v>0.5700000000000003</v>
      </c>
      <c r="E40" s="19">
        <f>C40-'Derived 5Y Spreads'!G10</f>
        <v>-0.28999999999999915</v>
      </c>
      <c r="F40" s="19" t="str">
        <f>IFERROR(NA(),"")</f>
        <v/>
      </c>
      <c r="G40" s="20">
        <f>'Derived 5Y Spreads'!E40</f>
      </c>
      <c r="H40" s="21" t="str">
        <f>'Derived 5Y Spreads'!O40</f>
        <v>stale</v>
      </c>
      <c r="I40" s="22" t="str">
        <f>'Derived 5Y Spreads'!A40</f>
        <v>screenshot-reference-20260824-v1</v>
      </c>
      <c r="J40" s="22" t="str">
        <f>'Derived 5Y Spreads'!D40</f>
        <v>SCREENSHOT.AMZN.5Y</v>
      </c>
      <c r="K40" s="5"/>
    </row>
    <row r="41" spans="1:11" x14ac:dyDescent="0.25">
      <c r="A41" s="7">
        <v>46191</v>
      </c>
      <c r="B41" s="6" t="s">
        <v>23</v>
      </c>
      <c r="C41" s="23">
        <f>'Derived 5Y Spreads'!G41</f>
        <v>49.43</v>
      </c>
      <c r="D41" s="24">
        <f>C41-'Derived 5Y Spreads'!G35</f>
        <v>0.4299999999999997</v>
      </c>
      <c r="E41" s="24">
        <f>C41-'Derived 5Y Spreads'!G11</f>
        <v>-0.4299999999999997</v>
      </c>
      <c r="F41" s="24" t="str">
        <f>IFERROR(NA(),"")</f>
        <v/>
      </c>
      <c r="G41" s="25">
        <f>'Derived 5Y Spreads'!E41</f>
      </c>
      <c r="H41" s="21" t="str">
        <f>'Derived 5Y Spreads'!O41</f>
        <v>stale</v>
      </c>
      <c r="I41" s="26" t="str">
        <f>'Derived 5Y Spreads'!A41</f>
        <v>screenshot-reference-20260824-v1</v>
      </c>
      <c r="J41" s="26" t="str">
        <f>'Derived 5Y Spreads'!D41</f>
        <v>SCREENSHOT.ALPHINC.5Y</v>
      </c>
      <c r="K41" s="9"/>
    </row>
    <row r="42" spans="1:11" x14ac:dyDescent="0.25">
      <c r="A42" s="3">
        <v>46191</v>
      </c>
      <c r="B42" s="2" t="s">
        <v>26</v>
      </c>
      <c r="C42" s="18">
        <f>'Derived 5Y Spreads'!G42</f>
        <v>38.29</v>
      </c>
      <c r="D42" s="19">
        <f>C42-'Derived 5Y Spreads'!G36</f>
        <v>0.28999999999999915</v>
      </c>
      <c r="E42" s="19">
        <f>C42-'Derived 5Y Spreads'!G12</f>
        <v>-0.5700000000000003</v>
      </c>
      <c r="F42" s="19" t="str">
        <f>IFERROR(NA(),"")</f>
        <v/>
      </c>
      <c r="G42" s="20">
        <f>'Derived 5Y Spreads'!E42</f>
      </c>
      <c r="H42" s="21" t="str">
        <f>'Derived 5Y Spreads'!O42</f>
        <v>stale</v>
      </c>
      <c r="I42" s="22" t="str">
        <f>'Derived 5Y Spreads'!A42</f>
        <v>screenshot-reference-20260824-v1</v>
      </c>
      <c r="J42" s="22" t="str">
        <f>'Derived 5Y Spreads'!D42</f>
        <v>SCREENSHOT.MSFT.5Y</v>
      </c>
      <c r="K42" s="5"/>
    </row>
    <row r="43" spans="1:11" x14ac:dyDescent="0.25">
      <c r="A43" s="7">
        <v>46191</v>
      </c>
      <c r="B43" s="6" t="s">
        <v>29</v>
      </c>
      <c r="C43" s="23">
        <f>'Derived 5Y Spreads'!G43</f>
        <v>69.29</v>
      </c>
      <c r="D43" s="24">
        <f>C43-'Derived 5Y Spreads'!G37</f>
        <v>0.29000000000000625</v>
      </c>
      <c r="E43" s="24">
        <f>C43-'Derived 5Y Spreads'!G13</f>
        <v>-1.4199999999999875</v>
      </c>
      <c r="F43" s="24" t="str">
        <f>IFERROR(NA(),"")</f>
        <v/>
      </c>
      <c r="G43" s="25">
        <f>'Derived 5Y Spreads'!E43</f>
      </c>
      <c r="H43" s="21" t="str">
        <f>'Derived 5Y Spreads'!O43</f>
        <v>stale</v>
      </c>
      <c r="I43" s="26" t="str">
        <f>'Derived 5Y Spreads'!A43</f>
        <v>screenshot-reference-20260824-v1</v>
      </c>
      <c r="J43" s="26" t="str">
        <f>'Derived 5Y Spreads'!D43</f>
        <v>SCREENSHOT.METAPL.5Y</v>
      </c>
      <c r="K43" s="9"/>
    </row>
    <row r="44" spans="1:11" x14ac:dyDescent="0.25">
      <c r="A44" s="3">
        <v>46192</v>
      </c>
      <c r="B44" s="2" t="s">
        <v>9</v>
      </c>
      <c r="C44" s="18">
        <f>'Derived 5Y Spreads'!G44</f>
        <v>157.43</v>
      </c>
      <c r="D44" s="19">
        <f>C44-'Derived 5Y Spreads'!G38</f>
        <v>0.8600000000000136</v>
      </c>
      <c r="E44" s="19">
        <f>C44-'Derived 5Y Spreads'!G14</f>
        <v>-0.1699999999999875</v>
      </c>
      <c r="F44" s="19" t="str">
        <f>IFERROR(NA(),"")</f>
        <v/>
      </c>
      <c r="G44" s="20">
        <f>'Derived 5Y Spreads'!E44</f>
      </c>
      <c r="H44" s="21" t="str">
        <f>'Derived 5Y Spreads'!O44</f>
        <v>stale</v>
      </c>
      <c r="I44" s="22" t="str">
        <f>'Derived 5Y Spreads'!A44</f>
        <v>screenshot-reference-20260824-v1</v>
      </c>
      <c r="J44" s="22" t="str">
        <f>'Derived 5Y Spreads'!D44</f>
        <v>SCREENSHOT.ORCLE.5Y</v>
      </c>
      <c r="K44" s="5"/>
    </row>
    <row r="45" spans="1:11" x14ac:dyDescent="0.25">
      <c r="A45" s="7">
        <v>46192</v>
      </c>
      <c r="B45" s="6" t="s">
        <v>14</v>
      </c>
      <c r="C45" s="23">
        <f>'Derived 5Y Spreads'!G45</f>
        <v>501.43</v>
      </c>
      <c r="D45" s="24">
        <f>C45-'Derived 5Y Spreads'!G39</f>
        <v>10.720000000000027</v>
      </c>
      <c r="E45" s="24">
        <f>C45-'Derived 5Y Spreads'!G15</f>
        <v>0</v>
      </c>
      <c r="F45" s="24" t="str">
        <f>IFERROR(NA(),"")</f>
        <v/>
      </c>
      <c r="G45" s="25">
        <f>'Derived 5Y Spreads'!E45</f>
      </c>
      <c r="H45" s="21" t="str">
        <f>'Derived 5Y Spreads'!O45</f>
        <v>stale</v>
      </c>
      <c r="I45" s="26" t="str">
        <f>'Derived 5Y Spreads'!A45</f>
        <v>screenshot-reference-20260824-v1</v>
      </c>
      <c r="J45" s="26" t="str">
        <f>'Derived 5Y Spreads'!D45</f>
        <v>SCREENSHOT.COREWEI.5Y</v>
      </c>
      <c r="K45" s="9"/>
    </row>
    <row r="46" spans="1:11" x14ac:dyDescent="0.25">
      <c r="A46" s="3">
        <v>46192</v>
      </c>
      <c r="B46" s="2" t="s">
        <v>20</v>
      </c>
      <c r="C46" s="18">
        <f>'Derived 5Y Spreads'!G46</f>
        <v>51.14</v>
      </c>
      <c r="D46" s="19">
        <f>C46-'Derived 5Y Spreads'!G40</f>
        <v>0.5700000000000003</v>
      </c>
      <c r="E46" s="19">
        <f>C46-'Derived 5Y Spreads'!G16</f>
        <v>0.4299999999999997</v>
      </c>
      <c r="F46" s="19" t="str">
        <f>IFERROR(NA(),"")</f>
        <v/>
      </c>
      <c r="G46" s="20">
        <f>'Derived 5Y Spreads'!E46</f>
      </c>
      <c r="H46" s="21" t="str">
        <f>'Derived 5Y Spreads'!O46</f>
        <v>stale</v>
      </c>
      <c r="I46" s="22" t="str">
        <f>'Derived 5Y Spreads'!A46</f>
        <v>screenshot-reference-20260824-v1</v>
      </c>
      <c r="J46" s="22" t="str">
        <f>'Derived 5Y Spreads'!D46</f>
        <v>SCREENSHOT.AMZN.5Y</v>
      </c>
      <c r="K46" s="5"/>
    </row>
    <row r="47" spans="1:11" x14ac:dyDescent="0.25">
      <c r="A47" s="7">
        <v>46192</v>
      </c>
      <c r="B47" s="6" t="s">
        <v>23</v>
      </c>
      <c r="C47" s="23">
        <f>'Derived 5Y Spreads'!G47</f>
        <v>49.86</v>
      </c>
      <c r="D47" s="24">
        <f>C47-'Derived 5Y Spreads'!G41</f>
        <v>0.4299999999999997</v>
      </c>
      <c r="E47" s="24">
        <f>C47-'Derived 5Y Spreads'!G17</f>
        <v>0.14999999999999858</v>
      </c>
      <c r="F47" s="24" t="str">
        <f>IFERROR(NA(),"")</f>
        <v/>
      </c>
      <c r="G47" s="25">
        <f>'Derived 5Y Spreads'!E47</f>
      </c>
      <c r="H47" s="21" t="str">
        <f>'Derived 5Y Spreads'!O47</f>
        <v>stale</v>
      </c>
      <c r="I47" s="26" t="str">
        <f>'Derived 5Y Spreads'!A47</f>
        <v>screenshot-reference-20260824-v1</v>
      </c>
      <c r="J47" s="26" t="str">
        <f>'Derived 5Y Spreads'!D47</f>
        <v>SCREENSHOT.ALPHINC.5Y</v>
      </c>
      <c r="K47" s="9"/>
    </row>
    <row r="48" spans="1:11" x14ac:dyDescent="0.25">
      <c r="A48" s="3">
        <v>46192</v>
      </c>
      <c r="B48" s="2" t="s">
        <v>26</v>
      </c>
      <c r="C48" s="18">
        <f>'Derived 5Y Spreads'!G48</f>
        <v>38.57</v>
      </c>
      <c r="D48" s="19">
        <f>C48-'Derived 5Y Spreads'!G42</f>
        <v>0.28000000000000114</v>
      </c>
      <c r="E48" s="19">
        <f>C48-'Derived 5Y Spreads'!G18</f>
        <v>-0.14000000000000057</v>
      </c>
      <c r="F48" s="19" t="str">
        <f>IFERROR(NA(),"")</f>
        <v/>
      </c>
      <c r="G48" s="20">
        <f>'Derived 5Y Spreads'!E48</f>
      </c>
      <c r="H48" s="21" t="str">
        <f>'Derived 5Y Spreads'!O48</f>
        <v>stale</v>
      </c>
      <c r="I48" s="22" t="str">
        <f>'Derived 5Y Spreads'!A48</f>
        <v>screenshot-reference-20260824-v1</v>
      </c>
      <c r="J48" s="22" t="str">
        <f>'Derived 5Y Spreads'!D48</f>
        <v>SCREENSHOT.MSFT.5Y</v>
      </c>
      <c r="K48" s="5"/>
    </row>
    <row r="49" spans="1:11" x14ac:dyDescent="0.25">
      <c r="A49" s="7">
        <v>46192</v>
      </c>
      <c r="B49" s="6" t="s">
        <v>29</v>
      </c>
      <c r="C49" s="23">
        <f>'Derived 5Y Spreads'!G49</f>
        <v>69.57</v>
      </c>
      <c r="D49" s="24">
        <f>C49-'Derived 5Y Spreads'!G43</f>
        <v>0.2799999999999869</v>
      </c>
      <c r="E49" s="24">
        <f>C49-'Derived 5Y Spreads'!G19</f>
        <v>-0.8600000000000136</v>
      </c>
      <c r="F49" s="24" t="str">
        <f>IFERROR(NA(),"")</f>
        <v/>
      </c>
      <c r="G49" s="25">
        <f>'Derived 5Y Spreads'!E49</f>
      </c>
      <c r="H49" s="21" t="str">
        <f>'Derived 5Y Spreads'!O49</f>
        <v>stale</v>
      </c>
      <c r="I49" s="26" t="str">
        <f>'Derived 5Y Spreads'!A49</f>
        <v>screenshot-reference-20260824-v1</v>
      </c>
      <c r="J49" s="26" t="str">
        <f>'Derived 5Y Spreads'!D49</f>
        <v>SCREENSHOT.METAPL.5Y</v>
      </c>
      <c r="K49" s="9"/>
    </row>
    <row r="50" spans="1:11" x14ac:dyDescent="0.25">
      <c r="A50" s="3">
        <v>46195</v>
      </c>
      <c r="B50" s="2" t="s">
        <v>9</v>
      </c>
      <c r="C50" s="18">
        <f>'Derived 5Y Spreads'!G50</f>
        <v>160</v>
      </c>
      <c r="D50" s="19">
        <f>C50-'Derived 5Y Spreads'!G44</f>
        <v>2.569999999999993</v>
      </c>
      <c r="E50" s="19">
        <f>C50-'Derived 5Y Spreads'!G20</f>
        <v>6</v>
      </c>
      <c r="F50" s="19" t="str">
        <f>IFERROR(NA(),"")</f>
        <v/>
      </c>
      <c r="G50" s="20">
        <f>'Derived 5Y Spreads'!E50</f>
      </c>
      <c r="H50" s="21" t="str">
        <f>'Derived 5Y Spreads'!O50</f>
        <v>stale</v>
      </c>
      <c r="I50" s="22" t="str">
        <f>'Derived 5Y Spreads'!A50</f>
        <v>screenshot-reference-20260824-v1</v>
      </c>
      <c r="J50" s="22" t="str">
        <f>'Derived 5Y Spreads'!D50</f>
        <v>SCREENSHOT.ORCLE.5Y</v>
      </c>
      <c r="K50" s="5"/>
    </row>
    <row r="51" spans="1:11" x14ac:dyDescent="0.25">
      <c r="A51" s="7">
        <v>46195</v>
      </c>
      <c r="B51" s="6" t="s">
        <v>14</v>
      </c>
      <c r="C51" s="23">
        <f>'Derived 5Y Spreads'!G51</f>
        <v>533.57</v>
      </c>
      <c r="D51" s="24">
        <f>C51-'Derived 5Y Spreads'!G45</f>
        <v>32.14000000000004</v>
      </c>
      <c r="E51" s="24">
        <f>C51-'Derived 5Y Spreads'!G21</f>
        <v>45.00000000000006</v>
      </c>
      <c r="F51" s="24" t="str">
        <f>IFERROR(NA(),"")</f>
        <v/>
      </c>
      <c r="G51" s="25">
        <f>'Derived 5Y Spreads'!E51</f>
      </c>
      <c r="H51" s="21" t="str">
        <f>'Derived 5Y Spreads'!O51</f>
        <v>stale</v>
      </c>
      <c r="I51" s="26" t="str">
        <f>'Derived 5Y Spreads'!A51</f>
        <v>screenshot-reference-20260824-v1</v>
      </c>
      <c r="J51" s="26" t="str">
        <f>'Derived 5Y Spreads'!D51</f>
        <v>SCREENSHOT.COREWEI.5Y</v>
      </c>
      <c r="K51" s="9"/>
    </row>
    <row r="52" spans="1:11" x14ac:dyDescent="0.25">
      <c r="A52" s="3">
        <v>46195</v>
      </c>
      <c r="B52" s="2" t="s">
        <v>17</v>
      </c>
      <c r="C52" s="18">
        <f>'Derived 5Y Spreads'!G52</f>
        <v>40</v>
      </c>
      <c r="D52" s="19" t="str">
        <f>IFERROR(NA(),"")</f>
        <v/>
      </c>
      <c r="E52" s="19" t="str">
        <f>IFERROR(NA(),"")</f>
        <v/>
      </c>
      <c r="F52" s="19" t="str">
        <f>IFERROR(NA(),"")</f>
        <v/>
      </c>
      <c r="G52" s="20">
        <f>'Derived 5Y Spreads'!E52</f>
      </c>
      <c r="H52" s="21" t="str">
        <f>'Derived 5Y Spreads'!O52</f>
        <v>stale</v>
      </c>
      <c r="I52" s="22" t="str">
        <f>'Derived 5Y Spreads'!A52</f>
        <v>screenshot-reference-20260824-v1</v>
      </c>
      <c r="J52" s="22" t="str">
        <f>'Derived 5Y Spreads'!D52</f>
        <v>SCREENSHOT.NVIDIA.5Y</v>
      </c>
      <c r="K52" s="5"/>
    </row>
    <row r="53" spans="1:11" x14ac:dyDescent="0.25">
      <c r="A53" s="7">
        <v>46195</v>
      </c>
      <c r="B53" s="6" t="s">
        <v>20</v>
      </c>
      <c r="C53" s="23">
        <f>'Derived 5Y Spreads'!G53</f>
        <v>52.86</v>
      </c>
      <c r="D53" s="24">
        <f>C53-'Derived 5Y Spreads'!G46</f>
        <v>1.7199999999999989</v>
      </c>
      <c r="E53" s="24">
        <f>C53-'Derived 5Y Spreads'!G22</f>
        <v>2.5700000000000003</v>
      </c>
      <c r="F53" s="24" t="str">
        <f>IFERROR(NA(),"")</f>
        <v/>
      </c>
      <c r="G53" s="25">
        <f>'Derived 5Y Spreads'!E53</f>
      </c>
      <c r="H53" s="21" t="str">
        <f>'Derived 5Y Spreads'!O53</f>
        <v>stale</v>
      </c>
      <c r="I53" s="26" t="str">
        <f>'Derived 5Y Spreads'!A53</f>
        <v>screenshot-reference-20260824-v1</v>
      </c>
      <c r="J53" s="26" t="str">
        <f>'Derived 5Y Spreads'!D53</f>
        <v>SCREENSHOT.AMZN.5Y</v>
      </c>
      <c r="K53" s="9"/>
    </row>
    <row r="54" spans="1:11" x14ac:dyDescent="0.25">
      <c r="A54" s="3">
        <v>46195</v>
      </c>
      <c r="B54" s="2" t="s">
        <v>23</v>
      </c>
      <c r="C54" s="18">
        <f>'Derived 5Y Spreads'!G54</f>
        <v>51.14</v>
      </c>
      <c r="D54" s="19">
        <f>C54-'Derived 5Y Spreads'!G47</f>
        <v>1.2800000000000011</v>
      </c>
      <c r="E54" s="19">
        <f>C54-'Derived 5Y Spreads'!G23</f>
        <v>1.8500000000000014</v>
      </c>
      <c r="F54" s="19" t="str">
        <f>IFERROR(NA(),"")</f>
        <v/>
      </c>
      <c r="G54" s="20">
        <f>'Derived 5Y Spreads'!E54</f>
      </c>
      <c r="H54" s="21" t="str">
        <f>'Derived 5Y Spreads'!O54</f>
        <v>stale</v>
      </c>
      <c r="I54" s="22" t="str">
        <f>'Derived 5Y Spreads'!A54</f>
        <v>screenshot-reference-20260824-v1</v>
      </c>
      <c r="J54" s="22" t="str">
        <f>'Derived 5Y Spreads'!D54</f>
        <v>SCREENSHOT.ALPHINC.5Y</v>
      </c>
      <c r="K54" s="5"/>
    </row>
    <row r="55" spans="1:11" x14ac:dyDescent="0.25">
      <c r="A55" s="7">
        <v>46195</v>
      </c>
      <c r="B55" s="6" t="s">
        <v>26</v>
      </c>
      <c r="C55" s="23">
        <f>'Derived 5Y Spreads'!G55</f>
        <v>39.43</v>
      </c>
      <c r="D55" s="24">
        <f>C55-'Derived 5Y Spreads'!G48</f>
        <v>0.8599999999999994</v>
      </c>
      <c r="E55" s="24">
        <f>C55-'Derived 5Y Spreads'!G24</f>
        <v>1.1400000000000006</v>
      </c>
      <c r="F55" s="24" t="str">
        <f>IFERROR(NA(),"")</f>
        <v/>
      </c>
      <c r="G55" s="25">
        <f>'Derived 5Y Spreads'!E55</f>
      </c>
      <c r="H55" s="21" t="str">
        <f>'Derived 5Y Spreads'!O55</f>
        <v>stale</v>
      </c>
      <c r="I55" s="26" t="str">
        <f>'Derived 5Y Spreads'!A55</f>
        <v>screenshot-reference-20260824-v1</v>
      </c>
      <c r="J55" s="26" t="str">
        <f>'Derived 5Y Spreads'!D55</f>
        <v>SCREENSHOT.MSFT.5Y</v>
      </c>
      <c r="K55" s="9"/>
    </row>
    <row r="56" spans="1:11" x14ac:dyDescent="0.25">
      <c r="A56" s="3">
        <v>46195</v>
      </c>
      <c r="B56" s="2" t="s">
        <v>29</v>
      </c>
      <c r="C56" s="18">
        <f>'Derived 5Y Spreads'!G56</f>
        <v>70.43</v>
      </c>
      <c r="D56" s="19">
        <f>C56-'Derived 5Y Spreads'!G49</f>
        <v>0.8600000000000136</v>
      </c>
      <c r="E56" s="19">
        <f>C56-'Derived 5Y Spreads'!G25</f>
        <v>0.8600000000000136</v>
      </c>
      <c r="F56" s="19" t="str">
        <f>IFERROR(NA(),"")</f>
        <v/>
      </c>
      <c r="G56" s="20">
        <f>'Derived 5Y Spreads'!E56</f>
      </c>
      <c r="H56" s="21" t="str">
        <f>'Derived 5Y Spreads'!O56</f>
        <v>stale</v>
      </c>
      <c r="I56" s="22" t="str">
        <f>'Derived 5Y Spreads'!A56</f>
        <v>screenshot-reference-20260824-v1</v>
      </c>
      <c r="J56" s="22" t="str">
        <f>'Derived 5Y Spreads'!D56</f>
        <v>SCREENSHOT.METAPL.5Y</v>
      </c>
      <c r="K56" s="5"/>
    </row>
    <row r="57" spans="1:11" x14ac:dyDescent="0.25">
      <c r="A57" s="7">
        <v>46196</v>
      </c>
      <c r="B57" s="6" t="s">
        <v>9</v>
      </c>
      <c r="C57" s="23">
        <f>'Derived 5Y Spreads'!G57</f>
        <v>161.57</v>
      </c>
      <c r="D57" s="24">
        <f>C57-'Derived 5Y Spreads'!G50</f>
        <v>1.5699999999999932</v>
      </c>
      <c r="E57" s="24">
        <f>C57-'Derived 5Y Spreads'!G26</f>
        <v>6.7099999999999795</v>
      </c>
      <c r="F57" s="24" t="str">
        <f>IFERROR(NA(),"")</f>
        <v/>
      </c>
      <c r="G57" s="25">
        <f>'Derived 5Y Spreads'!E57</f>
      </c>
      <c r="H57" s="21" t="str">
        <f>'Derived 5Y Spreads'!O57</f>
        <v>stale</v>
      </c>
      <c r="I57" s="26" t="str">
        <f>'Derived 5Y Spreads'!A57</f>
        <v>screenshot-reference-20260824-v1</v>
      </c>
      <c r="J57" s="26" t="str">
        <f>'Derived 5Y Spreads'!D57</f>
        <v>SCREENSHOT.ORCLE.5Y</v>
      </c>
      <c r="K57" s="9"/>
    </row>
    <row r="58" spans="1:11" x14ac:dyDescent="0.25">
      <c r="A58" s="3">
        <v>46196</v>
      </c>
      <c r="B58" s="2" t="s">
        <v>14</v>
      </c>
      <c r="C58" s="18">
        <f>'Derived 5Y Spreads'!G58</f>
        <v>544.29</v>
      </c>
      <c r="D58" s="19">
        <f>C58-'Derived 5Y Spreads'!G51</f>
        <v>10.719999999999914</v>
      </c>
      <c r="E58" s="19">
        <f>C58-'Derived 5Y Spreads'!G27</f>
        <v>59.99999999999994</v>
      </c>
      <c r="F58" s="19" t="str">
        <f>IFERROR(NA(),"")</f>
        <v/>
      </c>
      <c r="G58" s="20">
        <f>'Derived 5Y Spreads'!E58</f>
      </c>
      <c r="H58" s="21" t="str">
        <f>'Derived 5Y Spreads'!O58</f>
        <v>stale</v>
      </c>
      <c r="I58" s="22" t="str">
        <f>'Derived 5Y Spreads'!A58</f>
        <v>screenshot-reference-20260824-v1</v>
      </c>
      <c r="J58" s="22" t="str">
        <f>'Derived 5Y Spreads'!D58</f>
        <v>SCREENSHOT.COREWEI.5Y</v>
      </c>
      <c r="K58" s="5"/>
    </row>
    <row r="59" spans="1:11" x14ac:dyDescent="0.25">
      <c r="A59" s="7">
        <v>46196</v>
      </c>
      <c r="B59" s="6" t="s">
        <v>17</v>
      </c>
      <c r="C59" s="23">
        <f>'Derived 5Y Spreads'!G59</f>
        <v>40.86</v>
      </c>
      <c r="D59" s="24">
        <f>C59-'Derived 5Y Spreads'!G52</f>
        <v>0.8599999999999994</v>
      </c>
      <c r="E59" s="24" t="str">
        <f>IFERROR(NA(),"")</f>
        <v/>
      </c>
      <c r="F59" s="24" t="str">
        <f>IFERROR(NA(),"")</f>
        <v/>
      </c>
      <c r="G59" s="25">
        <f>'Derived 5Y Spreads'!E59</f>
      </c>
      <c r="H59" s="21" t="str">
        <f>'Derived 5Y Spreads'!O59</f>
        <v>stale</v>
      </c>
      <c r="I59" s="26" t="str">
        <f>'Derived 5Y Spreads'!A59</f>
        <v>screenshot-reference-20260824-v1</v>
      </c>
      <c r="J59" s="26" t="str">
        <f>'Derived 5Y Spreads'!D59</f>
        <v>SCREENSHOT.NVIDIA.5Y</v>
      </c>
      <c r="K59" s="9"/>
    </row>
    <row r="60" spans="1:11" x14ac:dyDescent="0.25">
      <c r="A60" s="3">
        <v>46196</v>
      </c>
      <c r="B60" s="2" t="s">
        <v>20</v>
      </c>
      <c r="C60" s="18">
        <f>'Derived 5Y Spreads'!G60</f>
        <v>53.43</v>
      </c>
      <c r="D60" s="19">
        <f>C60-'Derived 5Y Spreads'!G53</f>
        <v>0.5700000000000003</v>
      </c>
      <c r="E60" s="19">
        <f>C60-'Derived 5Y Spreads'!G28</f>
        <v>3.289999999999999</v>
      </c>
      <c r="F60" s="19" t="str">
        <f>IFERROR(NA(),"")</f>
        <v/>
      </c>
      <c r="G60" s="20">
        <f>'Derived 5Y Spreads'!E60</f>
      </c>
      <c r="H60" s="21" t="str">
        <f>'Derived 5Y Spreads'!O60</f>
        <v>stale</v>
      </c>
      <c r="I60" s="22" t="str">
        <f>'Derived 5Y Spreads'!A60</f>
        <v>screenshot-reference-20260824-v1</v>
      </c>
      <c r="J60" s="22" t="str">
        <f>'Derived 5Y Spreads'!D60</f>
        <v>SCREENSHOT.AMZN.5Y</v>
      </c>
      <c r="K60" s="5"/>
    </row>
    <row r="61" spans="1:11" x14ac:dyDescent="0.25">
      <c r="A61" s="7">
        <v>46196</v>
      </c>
      <c r="B61" s="6" t="s">
        <v>23</v>
      </c>
      <c r="C61" s="23">
        <f>'Derived 5Y Spreads'!G61</f>
        <v>51.57</v>
      </c>
      <c r="D61" s="24">
        <f>C61-'Derived 5Y Spreads'!G54</f>
        <v>0.4299999999999997</v>
      </c>
      <c r="E61" s="24">
        <f>C61-'Derived 5Y Spreads'!G29</f>
        <v>2.4299999999999997</v>
      </c>
      <c r="F61" s="24" t="str">
        <f>IFERROR(NA(),"")</f>
        <v/>
      </c>
      <c r="G61" s="25">
        <f>'Derived 5Y Spreads'!E61</f>
      </c>
      <c r="H61" s="21" t="str">
        <f>'Derived 5Y Spreads'!O61</f>
        <v>stale</v>
      </c>
      <c r="I61" s="26" t="str">
        <f>'Derived 5Y Spreads'!A61</f>
        <v>screenshot-reference-20260824-v1</v>
      </c>
      <c r="J61" s="26" t="str">
        <f>'Derived 5Y Spreads'!D61</f>
        <v>SCREENSHOT.ALPHINC.5Y</v>
      </c>
      <c r="K61" s="9"/>
    </row>
    <row r="62" spans="1:11" x14ac:dyDescent="0.25">
      <c r="A62" s="3">
        <v>46196</v>
      </c>
      <c r="B62" s="2" t="s">
        <v>26</v>
      </c>
      <c r="C62" s="18">
        <f>'Derived 5Y Spreads'!G62</f>
        <v>39.71</v>
      </c>
      <c r="D62" s="19">
        <f>C62-'Derived 5Y Spreads'!G55</f>
        <v>0.28000000000000114</v>
      </c>
      <c r="E62" s="19">
        <f>C62-'Derived 5Y Spreads'!G30</f>
        <v>1.5700000000000003</v>
      </c>
      <c r="F62" s="19" t="str">
        <f>IFERROR(NA(),"")</f>
        <v/>
      </c>
      <c r="G62" s="20">
        <f>'Derived 5Y Spreads'!E62</f>
      </c>
      <c r="H62" s="21" t="str">
        <f>'Derived 5Y Spreads'!O62</f>
        <v>stale</v>
      </c>
      <c r="I62" s="22" t="str">
        <f>'Derived 5Y Spreads'!A62</f>
        <v>screenshot-reference-20260824-v1</v>
      </c>
      <c r="J62" s="22" t="str">
        <f>'Derived 5Y Spreads'!D62</f>
        <v>SCREENSHOT.MSFT.5Y</v>
      </c>
      <c r="K62" s="5"/>
    </row>
    <row r="63" spans="1:11" x14ac:dyDescent="0.25">
      <c r="A63" s="7">
        <v>46196</v>
      </c>
      <c r="B63" s="6" t="s">
        <v>29</v>
      </c>
      <c r="C63" s="23">
        <f>'Derived 5Y Spreads'!G63</f>
        <v>70.71</v>
      </c>
      <c r="D63" s="24">
        <f>C63-'Derived 5Y Spreads'!G56</f>
        <v>0.2799999999999869</v>
      </c>
      <c r="E63" s="24">
        <f>C63-'Derived 5Y Spreads'!G31</f>
        <v>1.4199999999999875</v>
      </c>
      <c r="F63" s="24" t="str">
        <f>IFERROR(NA(),"")</f>
        <v/>
      </c>
      <c r="G63" s="25">
        <f>'Derived 5Y Spreads'!E63</f>
      </c>
      <c r="H63" s="21" t="str">
        <f>'Derived 5Y Spreads'!O63</f>
        <v>stale</v>
      </c>
      <c r="I63" s="26" t="str">
        <f>'Derived 5Y Spreads'!A63</f>
        <v>screenshot-reference-20260824-v1</v>
      </c>
      <c r="J63" s="26" t="str">
        <f>'Derived 5Y Spreads'!D63</f>
        <v>SCREENSHOT.METAPL.5Y</v>
      </c>
      <c r="K63" s="9"/>
    </row>
    <row r="64" spans="1:11" x14ac:dyDescent="0.25">
      <c r="A64" s="3">
        <v>46197</v>
      </c>
      <c r="B64" s="2" t="s">
        <v>9</v>
      </c>
      <c r="C64" s="18">
        <f>'Derived 5Y Spreads'!G64</f>
        <v>163.14</v>
      </c>
      <c r="D64" s="19">
        <f>C64-'Derived 5Y Spreads'!G57</f>
        <v>1.5699999999999932</v>
      </c>
      <c r="E64" s="19">
        <f>C64-'Derived 5Y Spreads'!G32</f>
        <v>7.429999999999978</v>
      </c>
      <c r="F64" s="19" t="str">
        <f>IFERROR(NA(),"")</f>
        <v/>
      </c>
      <c r="G64" s="20">
        <f>'Derived 5Y Spreads'!E64</f>
      </c>
      <c r="H64" s="21" t="str">
        <f>'Derived 5Y Spreads'!O64</f>
        <v>stale</v>
      </c>
      <c r="I64" s="22" t="str">
        <f>'Derived 5Y Spreads'!A64</f>
        <v>screenshot-reference-20260824-v1</v>
      </c>
      <c r="J64" s="22" t="str">
        <f>'Derived 5Y Spreads'!D64</f>
        <v>SCREENSHOT.ORCLE.5Y</v>
      </c>
      <c r="K64" s="5"/>
    </row>
    <row r="65" spans="1:11" x14ac:dyDescent="0.25">
      <c r="A65" s="7">
        <v>46197</v>
      </c>
      <c r="B65" s="6" t="s">
        <v>14</v>
      </c>
      <c r="C65" s="23">
        <f>'Derived 5Y Spreads'!G65</f>
        <v>555</v>
      </c>
      <c r="D65" s="24">
        <f>C65-'Derived 5Y Spreads'!G58</f>
        <v>10.710000000000036</v>
      </c>
      <c r="E65" s="24">
        <f>C65-'Derived 5Y Spreads'!G33</f>
        <v>75</v>
      </c>
      <c r="F65" s="24" t="str">
        <f>IFERROR(NA(),"")</f>
        <v/>
      </c>
      <c r="G65" s="25">
        <f>'Derived 5Y Spreads'!E65</f>
      </c>
      <c r="H65" s="21" t="str">
        <f>'Derived 5Y Spreads'!O65</f>
        <v>stale</v>
      </c>
      <c r="I65" s="26" t="str">
        <f>'Derived 5Y Spreads'!A65</f>
        <v>screenshot-reference-20260824-v1</v>
      </c>
      <c r="J65" s="26" t="str">
        <f>'Derived 5Y Spreads'!D65</f>
        <v>SCREENSHOT.COREWEI.5Y</v>
      </c>
      <c r="K65" s="9"/>
    </row>
    <row r="66" spans="1:11" x14ac:dyDescent="0.25">
      <c r="A66" s="3">
        <v>46197</v>
      </c>
      <c r="B66" s="2" t="s">
        <v>17</v>
      </c>
      <c r="C66" s="18">
        <f>'Derived 5Y Spreads'!G66</f>
        <v>41.71</v>
      </c>
      <c r="D66" s="19">
        <f>C66-'Derived 5Y Spreads'!G59</f>
        <v>0.8500000000000014</v>
      </c>
      <c r="E66" s="19" t="str">
        <f>IFERROR(NA(),"")</f>
        <v/>
      </c>
      <c r="F66" s="19" t="str">
        <f>IFERROR(NA(),"")</f>
        <v/>
      </c>
      <c r="G66" s="20">
        <f>'Derived 5Y Spreads'!E66</f>
      </c>
      <c r="H66" s="21" t="str">
        <f>'Derived 5Y Spreads'!O66</f>
        <v>stale</v>
      </c>
      <c r="I66" s="22" t="str">
        <f>'Derived 5Y Spreads'!A66</f>
        <v>screenshot-reference-20260824-v1</v>
      </c>
      <c r="J66" s="22" t="str">
        <f>'Derived 5Y Spreads'!D66</f>
        <v>SCREENSHOT.NVIDIA.5Y</v>
      </c>
      <c r="K66" s="5"/>
    </row>
    <row r="67" spans="1:11" x14ac:dyDescent="0.25">
      <c r="A67" s="7">
        <v>46197</v>
      </c>
      <c r="B67" s="6" t="s">
        <v>20</v>
      </c>
      <c r="C67" s="23">
        <f>'Derived 5Y Spreads'!G67</f>
        <v>54</v>
      </c>
      <c r="D67" s="24">
        <f>C67-'Derived 5Y Spreads'!G60</f>
        <v>0.5700000000000003</v>
      </c>
      <c r="E67" s="24">
        <f>C67-'Derived 5Y Spreads'!G34</f>
        <v>4</v>
      </c>
      <c r="F67" s="24" t="str">
        <f>IFERROR(NA(),"")</f>
        <v/>
      </c>
      <c r="G67" s="25">
        <f>'Derived 5Y Spreads'!E67</f>
      </c>
      <c r="H67" s="21" t="str">
        <f>'Derived 5Y Spreads'!O67</f>
        <v>stale</v>
      </c>
      <c r="I67" s="26" t="str">
        <f>'Derived 5Y Spreads'!A67</f>
        <v>screenshot-reference-20260824-v1</v>
      </c>
      <c r="J67" s="26" t="str">
        <f>'Derived 5Y Spreads'!D67</f>
        <v>SCREENSHOT.AMZN.5Y</v>
      </c>
      <c r="K67" s="9"/>
    </row>
    <row r="68" spans="1:11" x14ac:dyDescent="0.25">
      <c r="A68" s="3">
        <v>46197</v>
      </c>
      <c r="B68" s="2" t="s">
        <v>23</v>
      </c>
      <c r="C68" s="18">
        <f>'Derived 5Y Spreads'!G68</f>
        <v>52</v>
      </c>
      <c r="D68" s="19">
        <f>C68-'Derived 5Y Spreads'!G61</f>
        <v>0.4299999999999997</v>
      </c>
      <c r="E68" s="19">
        <f>C68-'Derived 5Y Spreads'!G35</f>
        <v>3</v>
      </c>
      <c r="F68" s="19" t="str">
        <f>IFERROR(NA(),"")</f>
        <v/>
      </c>
      <c r="G68" s="20">
        <f>'Derived 5Y Spreads'!E68</f>
      </c>
      <c r="H68" s="21" t="str">
        <f>'Derived 5Y Spreads'!O68</f>
        <v>stale</v>
      </c>
      <c r="I68" s="22" t="str">
        <f>'Derived 5Y Spreads'!A68</f>
        <v>screenshot-reference-20260824-v1</v>
      </c>
      <c r="J68" s="22" t="str">
        <f>'Derived 5Y Spreads'!D68</f>
        <v>SCREENSHOT.ALPHINC.5Y</v>
      </c>
      <c r="K68" s="5"/>
    </row>
    <row r="69" spans="1:11" x14ac:dyDescent="0.25">
      <c r="A69" s="7">
        <v>46197</v>
      </c>
      <c r="B69" s="6" t="s">
        <v>26</v>
      </c>
      <c r="C69" s="23">
        <f>'Derived 5Y Spreads'!G69</f>
        <v>40</v>
      </c>
      <c r="D69" s="24">
        <f>C69-'Derived 5Y Spreads'!G62</f>
        <v>0.28999999999999915</v>
      </c>
      <c r="E69" s="24">
        <f>C69-'Derived 5Y Spreads'!G36</f>
        <v>2</v>
      </c>
      <c r="F69" s="24" t="str">
        <f>IFERROR(NA(),"")</f>
        <v/>
      </c>
      <c r="G69" s="25">
        <f>'Derived 5Y Spreads'!E69</f>
      </c>
      <c r="H69" s="21" t="str">
        <f>'Derived 5Y Spreads'!O69</f>
        <v>stale</v>
      </c>
      <c r="I69" s="26" t="str">
        <f>'Derived 5Y Spreads'!A69</f>
        <v>screenshot-reference-20260824-v1</v>
      </c>
      <c r="J69" s="26" t="str">
        <f>'Derived 5Y Spreads'!D69</f>
        <v>SCREENSHOT.MSFT.5Y</v>
      </c>
      <c r="K69" s="9"/>
    </row>
    <row r="70" spans="1:11" x14ac:dyDescent="0.25">
      <c r="A70" s="3">
        <v>46197</v>
      </c>
      <c r="B70" s="2" t="s">
        <v>29</v>
      </c>
      <c r="C70" s="18">
        <f>'Derived 5Y Spreads'!G70</f>
        <v>71</v>
      </c>
      <c r="D70" s="19">
        <f>C70-'Derived 5Y Spreads'!G63</f>
        <v>0.29000000000000625</v>
      </c>
      <c r="E70" s="19">
        <f>C70-'Derived 5Y Spreads'!G37</f>
        <v>2</v>
      </c>
      <c r="F70" s="19" t="str">
        <f>IFERROR(NA(),"")</f>
        <v/>
      </c>
      <c r="G70" s="20">
        <f>'Derived 5Y Spreads'!E70</f>
      </c>
      <c r="H70" s="21" t="str">
        <f>'Derived 5Y Spreads'!O70</f>
        <v>stale</v>
      </c>
      <c r="I70" s="22" t="str">
        <f>'Derived 5Y Spreads'!A70</f>
        <v>screenshot-reference-20260824-v1</v>
      </c>
      <c r="J70" s="22" t="str">
        <f>'Derived 5Y Spreads'!D70</f>
        <v>SCREENSHOT.METAPL.5Y</v>
      </c>
      <c r="K70" s="5"/>
    </row>
    <row r="71" spans="1:11" x14ac:dyDescent="0.25">
      <c r="A71" s="7">
        <v>46198</v>
      </c>
      <c r="B71" s="6" t="s">
        <v>9</v>
      </c>
      <c r="C71" s="23">
        <f>'Derived 5Y Spreads'!G71</f>
        <v>164.71</v>
      </c>
      <c r="D71" s="24">
        <f>C71-'Derived 5Y Spreads'!G64</f>
        <v>1.5700000000000216</v>
      </c>
      <c r="E71" s="24">
        <f>C71-'Derived 5Y Spreads'!G38</f>
        <v>8.140000000000015</v>
      </c>
      <c r="F71" s="24" t="str">
        <f>IFERROR(NA(),"")</f>
        <v/>
      </c>
      <c r="G71" s="25">
        <f>'Derived 5Y Spreads'!E71</f>
      </c>
      <c r="H71" s="21" t="str">
        <f>'Derived 5Y Spreads'!O71</f>
        <v>stale</v>
      </c>
      <c r="I71" s="26" t="str">
        <f>'Derived 5Y Spreads'!A71</f>
        <v>screenshot-reference-20260824-v1</v>
      </c>
      <c r="J71" s="26" t="str">
        <f>'Derived 5Y Spreads'!D71</f>
        <v>SCREENSHOT.ORCLE.5Y</v>
      </c>
      <c r="K71" s="9"/>
    </row>
    <row r="72" spans="1:11" x14ac:dyDescent="0.25">
      <c r="A72" s="3">
        <v>46198</v>
      </c>
      <c r="B72" s="2" t="s">
        <v>14</v>
      </c>
      <c r="C72" s="18">
        <f>'Derived 5Y Spreads'!G72</f>
        <v>554</v>
      </c>
      <c r="D72" s="19">
        <f>C72-'Derived 5Y Spreads'!G65</f>
        <v>-1</v>
      </c>
      <c r="E72" s="19">
        <f>C72-'Derived 5Y Spreads'!G39</f>
        <v>63.29000000000002</v>
      </c>
      <c r="F72" s="19" t="str">
        <f>IFERROR(NA(),"")</f>
        <v/>
      </c>
      <c r="G72" s="20">
        <f>'Derived 5Y Spreads'!E72</f>
      </c>
      <c r="H72" s="21" t="str">
        <f>'Derived 5Y Spreads'!O72</f>
        <v>stale</v>
      </c>
      <c r="I72" s="22" t="str">
        <f>'Derived 5Y Spreads'!A72</f>
        <v>screenshot-reference-20260824-v1</v>
      </c>
      <c r="J72" s="22" t="str">
        <f>'Derived 5Y Spreads'!D72</f>
        <v>SCREENSHOT.COREWEI.5Y</v>
      </c>
      <c r="K72" s="5"/>
    </row>
    <row r="73" spans="1:11" x14ac:dyDescent="0.25">
      <c r="A73" s="7">
        <v>46198</v>
      </c>
      <c r="B73" s="6" t="s">
        <v>17</v>
      </c>
      <c r="C73" s="23">
        <f>'Derived 5Y Spreads'!G73</f>
        <v>42.57</v>
      </c>
      <c r="D73" s="24">
        <f>C73-'Derived 5Y Spreads'!G66</f>
        <v>0.8599999999999994</v>
      </c>
      <c r="E73" s="24" t="str">
        <f>IFERROR(NA(),"")</f>
        <v/>
      </c>
      <c r="F73" s="24" t="str">
        <f>IFERROR(NA(),"")</f>
        <v/>
      </c>
      <c r="G73" s="25">
        <f>'Derived 5Y Spreads'!E73</f>
      </c>
      <c r="H73" s="21" t="str">
        <f>'Derived 5Y Spreads'!O73</f>
        <v>stale</v>
      </c>
      <c r="I73" s="26" t="str">
        <f>'Derived 5Y Spreads'!A73</f>
        <v>screenshot-reference-20260824-v1</v>
      </c>
      <c r="J73" s="26" t="str">
        <f>'Derived 5Y Spreads'!D73</f>
        <v>SCREENSHOT.NVIDIA.5Y</v>
      </c>
      <c r="K73" s="9"/>
    </row>
    <row r="74" spans="1:11" x14ac:dyDescent="0.25">
      <c r="A74" s="3">
        <v>46198</v>
      </c>
      <c r="B74" s="2" t="s">
        <v>20</v>
      </c>
      <c r="C74" s="18">
        <f>'Derived 5Y Spreads'!G74</f>
        <v>54.13</v>
      </c>
      <c r="D74" s="19">
        <f>C74-'Derived 5Y Spreads'!G67</f>
        <v>0.13000000000000256</v>
      </c>
      <c r="E74" s="19">
        <f>C74-'Derived 5Y Spreads'!G40</f>
        <v>3.5600000000000023</v>
      </c>
      <c r="F74" s="19" t="str">
        <f>IFERROR(NA(),"")</f>
        <v/>
      </c>
      <c r="G74" s="20">
        <f>'Derived 5Y Spreads'!E74</f>
      </c>
      <c r="H74" s="21" t="str">
        <f>'Derived 5Y Spreads'!O74</f>
        <v>stale</v>
      </c>
      <c r="I74" s="22" t="str">
        <f>'Derived 5Y Spreads'!A74</f>
        <v>screenshot-reference-20260824-v1</v>
      </c>
      <c r="J74" s="22" t="str">
        <f>'Derived 5Y Spreads'!D74</f>
        <v>SCREENSHOT.AMZN.5Y</v>
      </c>
      <c r="K74" s="5"/>
    </row>
    <row r="75" spans="1:11" x14ac:dyDescent="0.25">
      <c r="A75" s="7">
        <v>46198</v>
      </c>
      <c r="B75" s="6" t="s">
        <v>23</v>
      </c>
      <c r="C75" s="23">
        <f>'Derived 5Y Spreads'!G75</f>
        <v>52.29</v>
      </c>
      <c r="D75" s="24">
        <f>C75-'Derived 5Y Spreads'!G68</f>
        <v>0.28999999999999915</v>
      </c>
      <c r="E75" s="24">
        <f>C75-'Derived 5Y Spreads'!G41</f>
        <v>2.8599999999999994</v>
      </c>
      <c r="F75" s="24" t="str">
        <f>IFERROR(NA(),"")</f>
        <v/>
      </c>
      <c r="G75" s="25">
        <f>'Derived 5Y Spreads'!E75</f>
      </c>
      <c r="H75" s="21" t="str">
        <f>'Derived 5Y Spreads'!O75</f>
        <v>stale</v>
      </c>
      <c r="I75" s="26" t="str">
        <f>'Derived 5Y Spreads'!A75</f>
        <v>screenshot-reference-20260824-v1</v>
      </c>
      <c r="J75" s="26" t="str">
        <f>'Derived 5Y Spreads'!D75</f>
        <v>SCREENSHOT.ALPHINC.5Y</v>
      </c>
      <c r="K75" s="9"/>
    </row>
    <row r="76" spans="1:11" x14ac:dyDescent="0.25">
      <c r="A76" s="3">
        <v>46198</v>
      </c>
      <c r="B76" s="2" t="s">
        <v>26</v>
      </c>
      <c r="C76" s="18">
        <f>'Derived 5Y Spreads'!G76</f>
        <v>40.4</v>
      </c>
      <c r="D76" s="19">
        <f>C76-'Derived 5Y Spreads'!G69</f>
        <v>0.3999999999999986</v>
      </c>
      <c r="E76" s="19">
        <f>C76-'Derived 5Y Spreads'!G42</f>
        <v>2.1099999999999994</v>
      </c>
      <c r="F76" s="19" t="str">
        <f>IFERROR(NA(),"")</f>
        <v/>
      </c>
      <c r="G76" s="20">
        <f>'Derived 5Y Spreads'!E76</f>
      </c>
      <c r="H76" s="21" t="str">
        <f>'Derived 5Y Spreads'!O76</f>
        <v>stale</v>
      </c>
      <c r="I76" s="22" t="str">
        <f>'Derived 5Y Spreads'!A76</f>
        <v>screenshot-reference-20260824-v1</v>
      </c>
      <c r="J76" s="22" t="str">
        <f>'Derived 5Y Spreads'!D76</f>
        <v>SCREENSHOT.MSFT.5Y</v>
      </c>
      <c r="K76" s="5"/>
    </row>
    <row r="77" spans="1:11" x14ac:dyDescent="0.25">
      <c r="A77" s="7">
        <v>46198</v>
      </c>
      <c r="B77" s="6" t="s">
        <v>29</v>
      </c>
      <c r="C77" s="23">
        <f>'Derived 5Y Spreads'!G77</f>
        <v>70.63</v>
      </c>
      <c r="D77" s="24">
        <f>C77-'Derived 5Y Spreads'!G70</f>
        <v>-0.37000000000000455</v>
      </c>
      <c r="E77" s="24">
        <f>C77-'Derived 5Y Spreads'!G43</f>
        <v>1.3399999999999892</v>
      </c>
      <c r="F77" s="24" t="str">
        <f>IFERROR(NA(),"")</f>
        <v/>
      </c>
      <c r="G77" s="25">
        <f>'Derived 5Y Spreads'!E77</f>
      </c>
      <c r="H77" s="21" t="str">
        <f>'Derived 5Y Spreads'!O77</f>
        <v>stale</v>
      </c>
      <c r="I77" s="26" t="str">
        <f>'Derived 5Y Spreads'!A77</f>
        <v>screenshot-reference-20260824-v1</v>
      </c>
      <c r="J77" s="26" t="str">
        <f>'Derived 5Y Spreads'!D77</f>
        <v>SCREENSHOT.METAPL.5Y</v>
      </c>
      <c r="K77" s="9"/>
    </row>
    <row r="78" spans="1:11" x14ac:dyDescent="0.25">
      <c r="A78" s="3">
        <v>46199</v>
      </c>
      <c r="B78" s="2" t="s">
        <v>9</v>
      </c>
      <c r="C78" s="18">
        <f>'Derived 5Y Spreads'!G78</f>
        <v>166.29</v>
      </c>
      <c r="D78" s="19">
        <f>C78-'Derived 5Y Spreads'!G71</f>
        <v>1.579999999999984</v>
      </c>
      <c r="E78" s="19">
        <f>C78-'Derived 5Y Spreads'!G44</f>
        <v>8.859999999999985</v>
      </c>
      <c r="F78" s="19" t="str">
        <f>IFERROR(NA(),"")</f>
        <v/>
      </c>
      <c r="G78" s="20">
        <f>'Derived 5Y Spreads'!E78</f>
      </c>
      <c r="H78" s="21" t="str">
        <f>'Derived 5Y Spreads'!O78</f>
        <v>stale</v>
      </c>
      <c r="I78" s="22" t="str">
        <f>'Derived 5Y Spreads'!A78</f>
        <v>screenshot-reference-20260824-v1</v>
      </c>
      <c r="J78" s="22" t="str">
        <f>'Derived 5Y Spreads'!D78</f>
        <v>SCREENSHOT.ORCLE.5Y</v>
      </c>
      <c r="K78" s="5"/>
    </row>
    <row r="79" spans="1:11" x14ac:dyDescent="0.25">
      <c r="A79" s="7">
        <v>46199</v>
      </c>
      <c r="B79" s="6" t="s">
        <v>14</v>
      </c>
      <c r="C79" s="23">
        <f>'Derived 5Y Spreads'!G79</f>
        <v>553</v>
      </c>
      <c r="D79" s="24">
        <f>C79-'Derived 5Y Spreads'!G72</f>
        <v>-1</v>
      </c>
      <c r="E79" s="24">
        <f>C79-'Derived 5Y Spreads'!G45</f>
        <v>51.56999999999999</v>
      </c>
      <c r="F79" s="24" t="str">
        <f>IFERROR(NA(),"")</f>
        <v/>
      </c>
      <c r="G79" s="25">
        <f>'Derived 5Y Spreads'!E79</f>
      </c>
      <c r="H79" s="21" t="str">
        <f>'Derived 5Y Spreads'!O79</f>
        <v>stale</v>
      </c>
      <c r="I79" s="26" t="str">
        <f>'Derived 5Y Spreads'!A79</f>
        <v>screenshot-reference-20260824-v1</v>
      </c>
      <c r="J79" s="26" t="str">
        <f>'Derived 5Y Spreads'!D79</f>
        <v>SCREENSHOT.COREWEI.5Y</v>
      </c>
      <c r="K79" s="9"/>
    </row>
    <row r="80" spans="1:11" x14ac:dyDescent="0.25">
      <c r="A80" s="3">
        <v>46199</v>
      </c>
      <c r="B80" s="2" t="s">
        <v>17</v>
      </c>
      <c r="C80" s="18">
        <f>'Derived 5Y Spreads'!G80</f>
        <v>43.43</v>
      </c>
      <c r="D80" s="19">
        <f>C80-'Derived 5Y Spreads'!G73</f>
        <v>0.8599999999999994</v>
      </c>
      <c r="E80" s="19" t="str">
        <f>IFERROR(NA(),"")</f>
        <v/>
      </c>
      <c r="F80" s="19" t="str">
        <f>IFERROR(NA(),"")</f>
        <v/>
      </c>
      <c r="G80" s="20">
        <f>'Derived 5Y Spreads'!E80</f>
      </c>
      <c r="H80" s="21" t="str">
        <f>'Derived 5Y Spreads'!O80</f>
        <v>stale</v>
      </c>
      <c r="I80" s="22" t="str">
        <f>'Derived 5Y Spreads'!A80</f>
        <v>screenshot-reference-20260824-v1</v>
      </c>
      <c r="J80" s="22" t="str">
        <f>'Derived 5Y Spreads'!D80</f>
        <v>SCREENSHOT.NVIDIA.5Y</v>
      </c>
      <c r="K80" s="5"/>
    </row>
    <row r="81" spans="1:11" x14ac:dyDescent="0.25">
      <c r="A81" s="7">
        <v>46199</v>
      </c>
      <c r="B81" s="6" t="s">
        <v>20</v>
      </c>
      <c r="C81" s="23">
        <f>'Derived 5Y Spreads'!G81</f>
        <v>54.25</v>
      </c>
      <c r="D81" s="24">
        <f>C81-'Derived 5Y Spreads'!G74</f>
        <v>0.11999999999999744</v>
      </c>
      <c r="E81" s="24">
        <f>C81-'Derived 5Y Spreads'!G46</f>
        <v>3.1099999999999994</v>
      </c>
      <c r="F81" s="24" t="str">
        <f>IFERROR(NA(),"")</f>
        <v/>
      </c>
      <c r="G81" s="25">
        <f>'Derived 5Y Spreads'!E81</f>
      </c>
      <c r="H81" s="21" t="str">
        <f>'Derived 5Y Spreads'!O81</f>
        <v>stale</v>
      </c>
      <c r="I81" s="26" t="str">
        <f>'Derived 5Y Spreads'!A81</f>
        <v>screenshot-reference-20260824-v1</v>
      </c>
      <c r="J81" s="26" t="str">
        <f>'Derived 5Y Spreads'!D81</f>
        <v>SCREENSHOT.AMZN.5Y</v>
      </c>
      <c r="K81" s="9"/>
    </row>
    <row r="82" spans="1:11" x14ac:dyDescent="0.25">
      <c r="A82" s="3">
        <v>46199</v>
      </c>
      <c r="B82" s="2" t="s">
        <v>23</v>
      </c>
      <c r="C82" s="18">
        <f>'Derived 5Y Spreads'!G82</f>
        <v>52.57</v>
      </c>
      <c r="D82" s="19">
        <f>C82-'Derived 5Y Spreads'!G75</f>
        <v>0.28000000000000114</v>
      </c>
      <c r="E82" s="19">
        <f>C82-'Derived 5Y Spreads'!G47</f>
        <v>2.710000000000001</v>
      </c>
      <c r="F82" s="19" t="str">
        <f>IFERROR(NA(),"")</f>
        <v/>
      </c>
      <c r="G82" s="20">
        <f>'Derived 5Y Spreads'!E82</f>
      </c>
      <c r="H82" s="21" t="str">
        <f>'Derived 5Y Spreads'!O82</f>
        <v>stale</v>
      </c>
      <c r="I82" s="22" t="str">
        <f>'Derived 5Y Spreads'!A82</f>
        <v>screenshot-reference-20260824-v1</v>
      </c>
      <c r="J82" s="22" t="str">
        <f>'Derived 5Y Spreads'!D82</f>
        <v>SCREENSHOT.ALPHINC.5Y</v>
      </c>
      <c r="K82" s="5"/>
    </row>
    <row r="83" spans="1:11" x14ac:dyDescent="0.25">
      <c r="A83" s="7">
        <v>46199</v>
      </c>
      <c r="B83" s="6" t="s">
        <v>26</v>
      </c>
      <c r="C83" s="23">
        <f>'Derived 5Y Spreads'!G83</f>
        <v>40.8</v>
      </c>
      <c r="D83" s="24">
        <f>C83-'Derived 5Y Spreads'!G76</f>
        <v>0.3999999999999986</v>
      </c>
      <c r="E83" s="24">
        <f>C83-'Derived 5Y Spreads'!G48</f>
        <v>2.229999999999997</v>
      </c>
      <c r="F83" s="24" t="str">
        <f>IFERROR(NA(),"")</f>
        <v/>
      </c>
      <c r="G83" s="25">
        <f>'Derived 5Y Spreads'!E83</f>
      </c>
      <c r="H83" s="21" t="str">
        <f>'Derived 5Y Spreads'!O83</f>
        <v>stale</v>
      </c>
      <c r="I83" s="26" t="str">
        <f>'Derived 5Y Spreads'!A83</f>
        <v>screenshot-reference-20260824-v1</v>
      </c>
      <c r="J83" s="26" t="str">
        <f>'Derived 5Y Spreads'!D83</f>
        <v>SCREENSHOT.MSFT.5Y</v>
      </c>
      <c r="K83" s="9"/>
    </row>
    <row r="84" spans="1:11" x14ac:dyDescent="0.25">
      <c r="A84" s="3">
        <v>46199</v>
      </c>
      <c r="B84" s="2" t="s">
        <v>29</v>
      </c>
      <c r="C84" s="18">
        <f>'Derived 5Y Spreads'!G84</f>
        <v>70.25</v>
      </c>
      <c r="D84" s="19">
        <f>C84-'Derived 5Y Spreads'!G77</f>
        <v>-0.37999999999999545</v>
      </c>
      <c r="E84" s="19">
        <f>C84-'Derived 5Y Spreads'!G49</f>
        <v>0.6800000000000068</v>
      </c>
      <c r="F84" s="19" t="str">
        <f>IFERROR(NA(),"")</f>
        <v/>
      </c>
      <c r="G84" s="20">
        <f>'Derived 5Y Spreads'!E84</f>
      </c>
      <c r="H84" s="21" t="str">
        <f>'Derived 5Y Spreads'!O84</f>
        <v>stale</v>
      </c>
      <c r="I84" s="22" t="str">
        <f>'Derived 5Y Spreads'!A84</f>
        <v>screenshot-reference-20260824-v1</v>
      </c>
      <c r="J84" s="22" t="str">
        <f>'Derived 5Y Spreads'!D84</f>
        <v>SCREENSHOT.METAPL.5Y</v>
      </c>
      <c r="K84" s="5"/>
    </row>
    <row r="85" spans="1:11" x14ac:dyDescent="0.25">
      <c r="A85" s="7">
        <v>46202</v>
      </c>
      <c r="B85" s="6" t="s">
        <v>9</v>
      </c>
      <c r="C85" s="23">
        <f>'Derived 5Y Spreads'!G85</f>
        <v>171</v>
      </c>
      <c r="D85" s="24">
        <f>C85-'Derived 5Y Spreads'!G78</f>
        <v>4.710000000000008</v>
      </c>
      <c r="E85" s="24">
        <f>C85-'Derived 5Y Spreads'!G50</f>
        <v>11</v>
      </c>
      <c r="F85" s="24" t="str">
        <f>IFERROR(NA(),"")</f>
        <v/>
      </c>
      <c r="G85" s="25">
        <f>'Derived 5Y Spreads'!E85</f>
      </c>
      <c r="H85" s="21" t="str">
        <f>'Derived 5Y Spreads'!O85</f>
        <v>stale</v>
      </c>
      <c r="I85" s="26" t="str">
        <f>'Derived 5Y Spreads'!A85</f>
        <v>screenshot-reference-20260824-v1</v>
      </c>
      <c r="J85" s="26" t="str">
        <f>'Derived 5Y Spreads'!D85</f>
        <v>SCREENSHOT.ORCLE.5Y</v>
      </c>
      <c r="K85" s="9"/>
    </row>
    <row r="86" spans="1:11" x14ac:dyDescent="0.25">
      <c r="A86" s="3">
        <v>46202</v>
      </c>
      <c r="B86" s="2" t="s">
        <v>14</v>
      </c>
      <c r="C86" s="18">
        <f>'Derived 5Y Spreads'!G86</f>
        <v>550</v>
      </c>
      <c r="D86" s="19">
        <f>C86-'Derived 5Y Spreads'!G79</f>
        <v>-3</v>
      </c>
      <c r="E86" s="19">
        <f>C86-'Derived 5Y Spreads'!G51</f>
        <v>16.42999999999995</v>
      </c>
      <c r="F86" s="19" t="str">
        <f>IFERROR(NA(),"")</f>
        <v/>
      </c>
      <c r="G86" s="20">
        <f>'Derived 5Y Spreads'!E86</f>
      </c>
      <c r="H86" s="21" t="str">
        <f>'Derived 5Y Spreads'!O86</f>
        <v>stale</v>
      </c>
      <c r="I86" s="22" t="str">
        <f>'Derived 5Y Spreads'!A86</f>
        <v>screenshot-reference-20260824-v1</v>
      </c>
      <c r="J86" s="22" t="str">
        <f>'Derived 5Y Spreads'!D86</f>
        <v>SCREENSHOT.COREWEI.5Y</v>
      </c>
      <c r="K86" s="5"/>
    </row>
    <row r="87" spans="1:11" x14ac:dyDescent="0.25">
      <c r="A87" s="7">
        <v>46202</v>
      </c>
      <c r="B87" s="6" t="s">
        <v>17</v>
      </c>
      <c r="C87" s="23">
        <f>'Derived 5Y Spreads'!G87</f>
        <v>46</v>
      </c>
      <c r="D87" s="24">
        <f>C87-'Derived 5Y Spreads'!G80</f>
        <v>2.5700000000000003</v>
      </c>
      <c r="E87" s="24">
        <f>C87-'Derived 5Y Spreads'!G52</f>
        <v>6</v>
      </c>
      <c r="F87" s="24" t="str">
        <f>IFERROR(NA(),"")</f>
        <v/>
      </c>
      <c r="G87" s="25">
        <f>'Derived 5Y Spreads'!E87</f>
      </c>
      <c r="H87" s="21" t="str">
        <f>'Derived 5Y Spreads'!O87</f>
        <v>stale</v>
      </c>
      <c r="I87" s="26" t="str">
        <f>'Derived 5Y Spreads'!A87</f>
        <v>screenshot-reference-20260824-v1</v>
      </c>
      <c r="J87" s="26" t="str">
        <f>'Derived 5Y Spreads'!D87</f>
        <v>SCREENSHOT.NVIDIA.5Y</v>
      </c>
      <c r="K87" s="9"/>
    </row>
    <row r="88" spans="1:11" x14ac:dyDescent="0.25">
      <c r="A88" s="3">
        <v>46202</v>
      </c>
      <c r="B88" s="2" t="s">
        <v>20</v>
      </c>
      <c r="C88" s="18">
        <f>'Derived 5Y Spreads'!G88</f>
        <v>54.63</v>
      </c>
      <c r="D88" s="19">
        <f>C88-'Derived 5Y Spreads'!G81</f>
        <v>0.38000000000000256</v>
      </c>
      <c r="E88" s="19">
        <f>C88-'Derived 5Y Spreads'!G53</f>
        <v>1.7700000000000031</v>
      </c>
      <c r="F88" s="19" t="str">
        <f>IFERROR(NA(),"")</f>
        <v/>
      </c>
      <c r="G88" s="20">
        <f>'Derived 5Y Spreads'!E88</f>
      </c>
      <c r="H88" s="21" t="str">
        <f>'Derived 5Y Spreads'!O88</f>
        <v>stale</v>
      </c>
      <c r="I88" s="22" t="str">
        <f>'Derived 5Y Spreads'!A88</f>
        <v>screenshot-reference-20260824-v1</v>
      </c>
      <c r="J88" s="22" t="str">
        <f>'Derived 5Y Spreads'!D88</f>
        <v>SCREENSHOT.AMZN.5Y</v>
      </c>
      <c r="K88" s="5"/>
    </row>
    <row r="89" spans="1:11" x14ac:dyDescent="0.25">
      <c r="A89" s="7">
        <v>46202</v>
      </c>
      <c r="B89" s="6" t="s">
        <v>23</v>
      </c>
      <c r="C89" s="23">
        <f>'Derived 5Y Spreads'!G89</f>
        <v>53.43</v>
      </c>
      <c r="D89" s="24">
        <f>C89-'Derived 5Y Spreads'!G82</f>
        <v>0.8599999999999994</v>
      </c>
      <c r="E89" s="24">
        <f>C89-'Derived 5Y Spreads'!G54</f>
        <v>2.289999999999999</v>
      </c>
      <c r="F89" s="24" t="str">
        <f>IFERROR(NA(),"")</f>
        <v/>
      </c>
      <c r="G89" s="25">
        <f>'Derived 5Y Spreads'!E89</f>
      </c>
      <c r="H89" s="21" t="str">
        <f>'Derived 5Y Spreads'!O89</f>
        <v>stale</v>
      </c>
      <c r="I89" s="26" t="str">
        <f>'Derived 5Y Spreads'!A89</f>
        <v>screenshot-reference-20260824-v1</v>
      </c>
      <c r="J89" s="26" t="str">
        <f>'Derived 5Y Spreads'!D89</f>
        <v>SCREENSHOT.ALPHINC.5Y</v>
      </c>
      <c r="K89" s="9"/>
    </row>
    <row r="90" spans="1:11" x14ac:dyDescent="0.25">
      <c r="A90" s="3">
        <v>46202</v>
      </c>
      <c r="B90" s="2" t="s">
        <v>26</v>
      </c>
      <c r="C90" s="18">
        <f>'Derived 5Y Spreads'!G90</f>
        <v>42</v>
      </c>
      <c r="D90" s="19">
        <f>C90-'Derived 5Y Spreads'!G83</f>
        <v>1.2000000000000028</v>
      </c>
      <c r="E90" s="19">
        <f>C90-'Derived 5Y Spreads'!G55</f>
        <v>2.5700000000000003</v>
      </c>
      <c r="F90" s="19" t="str">
        <f>IFERROR(NA(),"")</f>
        <v/>
      </c>
      <c r="G90" s="20">
        <f>'Derived 5Y Spreads'!E90</f>
      </c>
      <c r="H90" s="21" t="str">
        <f>'Derived 5Y Spreads'!O90</f>
        <v>stale</v>
      </c>
      <c r="I90" s="22" t="str">
        <f>'Derived 5Y Spreads'!A90</f>
        <v>screenshot-reference-20260824-v1</v>
      </c>
      <c r="J90" s="22" t="str">
        <f>'Derived 5Y Spreads'!D90</f>
        <v>SCREENSHOT.MSFT.5Y</v>
      </c>
      <c r="K90" s="5"/>
    </row>
    <row r="91" spans="1:11" x14ac:dyDescent="0.25">
      <c r="A91" s="7">
        <v>46202</v>
      </c>
      <c r="B91" s="6" t="s">
        <v>29</v>
      </c>
      <c r="C91" s="23">
        <f>'Derived 5Y Spreads'!G91</f>
        <v>69.13</v>
      </c>
      <c r="D91" s="24">
        <f>C91-'Derived 5Y Spreads'!G84</f>
        <v>-1.1200000000000045</v>
      </c>
      <c r="E91" s="24">
        <f>C91-'Derived 5Y Spreads'!G56</f>
        <v>-1.3000000000000114</v>
      </c>
      <c r="F91" s="24" t="str">
        <f>IFERROR(NA(),"")</f>
        <v/>
      </c>
      <c r="G91" s="25">
        <f>'Derived 5Y Spreads'!E91</f>
      </c>
      <c r="H91" s="21" t="str">
        <f>'Derived 5Y Spreads'!O91</f>
        <v>stale</v>
      </c>
      <c r="I91" s="26" t="str">
        <f>'Derived 5Y Spreads'!A91</f>
        <v>screenshot-reference-20260824-v1</v>
      </c>
      <c r="J91" s="26" t="str">
        <f>'Derived 5Y Spreads'!D91</f>
        <v>SCREENSHOT.METAPL.5Y</v>
      </c>
      <c r="K91" s="9"/>
    </row>
    <row r="92" spans="1:11" x14ac:dyDescent="0.25">
      <c r="A92" s="3">
        <v>46203</v>
      </c>
      <c r="B92" s="2" t="s">
        <v>9</v>
      </c>
      <c r="C92" s="18">
        <f>'Derived 5Y Spreads'!G92</f>
        <v>170.71</v>
      </c>
      <c r="D92" s="19">
        <f>C92-'Derived 5Y Spreads'!G85</f>
        <v>-0.28999999999999204</v>
      </c>
      <c r="E92" s="19">
        <f>C92-'Derived 5Y Spreads'!G57</f>
        <v>9.140000000000015</v>
      </c>
      <c r="F92" s="19" t="str">
        <f>IFERROR(NA(),"")</f>
        <v/>
      </c>
      <c r="G92" s="20">
        <f>'Derived 5Y Spreads'!E92</f>
      </c>
      <c r="H92" s="21" t="str">
        <f>'Derived 5Y Spreads'!O92</f>
        <v>stale</v>
      </c>
      <c r="I92" s="22" t="str">
        <f>'Derived 5Y Spreads'!A92</f>
        <v>screenshot-reference-20260824-v1</v>
      </c>
      <c r="J92" s="22" t="str">
        <f>'Derived 5Y Spreads'!D92</f>
        <v>SCREENSHOT.ORCLE.5Y</v>
      </c>
      <c r="K92" s="5"/>
    </row>
    <row r="93" spans="1:11" x14ac:dyDescent="0.25">
      <c r="A93" s="7">
        <v>46203</v>
      </c>
      <c r="B93" s="6" t="s">
        <v>14</v>
      </c>
      <c r="C93" s="23">
        <f>'Derived 5Y Spreads'!G93</f>
        <v>561.67</v>
      </c>
      <c r="D93" s="24">
        <f>C93-'Derived 5Y Spreads'!G86</f>
        <v>11.669999999999959</v>
      </c>
      <c r="E93" s="24">
        <f>C93-'Derived 5Y Spreads'!G58</f>
        <v>17.379999999999995</v>
      </c>
      <c r="F93" s="24" t="str">
        <f>IFERROR(NA(),"")</f>
        <v/>
      </c>
      <c r="G93" s="25">
        <f>'Derived 5Y Spreads'!E93</f>
      </c>
      <c r="H93" s="21" t="str">
        <f>'Derived 5Y Spreads'!O93</f>
        <v>stale</v>
      </c>
      <c r="I93" s="26" t="str">
        <f>'Derived 5Y Spreads'!A93</f>
        <v>screenshot-reference-20260824-v1</v>
      </c>
      <c r="J93" s="26" t="str">
        <f>'Derived 5Y Spreads'!D93</f>
        <v>SCREENSHOT.COREWEI.5Y</v>
      </c>
      <c r="K93" s="9"/>
    </row>
    <row r="94" spans="1:11" x14ac:dyDescent="0.25">
      <c r="A94" s="3">
        <v>46203</v>
      </c>
      <c r="B94" s="2" t="s">
        <v>17</v>
      </c>
      <c r="C94" s="18">
        <f>'Derived 5Y Spreads'!G94</f>
        <v>45.89</v>
      </c>
      <c r="D94" s="19">
        <f>C94-'Derived 5Y Spreads'!G87</f>
        <v>-0.10999999999999943</v>
      </c>
      <c r="E94" s="19">
        <f>C94-'Derived 5Y Spreads'!G59</f>
        <v>5.030000000000001</v>
      </c>
      <c r="F94" s="19" t="str">
        <f>IFERROR(NA(),"")</f>
        <v/>
      </c>
      <c r="G94" s="20">
        <f>'Derived 5Y Spreads'!E94</f>
      </c>
      <c r="H94" s="21" t="str">
        <f>'Derived 5Y Spreads'!O94</f>
        <v>stale</v>
      </c>
      <c r="I94" s="22" t="str">
        <f>'Derived 5Y Spreads'!A94</f>
        <v>screenshot-reference-20260824-v1</v>
      </c>
      <c r="J94" s="22" t="str">
        <f>'Derived 5Y Spreads'!D94</f>
        <v>SCREENSHOT.NVIDIA.5Y</v>
      </c>
      <c r="K94" s="5"/>
    </row>
    <row r="95" spans="1:11" x14ac:dyDescent="0.25">
      <c r="A95" s="7">
        <v>46203</v>
      </c>
      <c r="B95" s="6" t="s">
        <v>20</v>
      </c>
      <c r="C95" s="23">
        <f>'Derived 5Y Spreads'!G95</f>
        <v>54.75</v>
      </c>
      <c r="D95" s="24">
        <f>C95-'Derived 5Y Spreads'!G88</f>
        <v>0.11999999999999744</v>
      </c>
      <c r="E95" s="24">
        <f>C95-'Derived 5Y Spreads'!G60</f>
        <v>1.3200000000000003</v>
      </c>
      <c r="F95" s="24" t="str">
        <f>IFERROR(NA(),"")</f>
        <v/>
      </c>
      <c r="G95" s="25">
        <f>'Derived 5Y Spreads'!E95</f>
      </c>
      <c r="H95" s="21" t="str">
        <f>'Derived 5Y Spreads'!O95</f>
        <v>stale</v>
      </c>
      <c r="I95" s="26" t="str">
        <f>'Derived 5Y Spreads'!A95</f>
        <v>screenshot-reference-20260824-v1</v>
      </c>
      <c r="J95" s="26" t="str">
        <f>'Derived 5Y Spreads'!D95</f>
        <v>SCREENSHOT.AMZN.5Y</v>
      </c>
      <c r="K95" s="9"/>
    </row>
    <row r="96" spans="1:11" x14ac:dyDescent="0.25">
      <c r="A96" s="3">
        <v>46203</v>
      </c>
      <c r="B96" s="2" t="s">
        <v>23</v>
      </c>
      <c r="C96" s="18">
        <f>'Derived 5Y Spreads'!G96</f>
        <v>53.71</v>
      </c>
      <c r="D96" s="19">
        <f>C96-'Derived 5Y Spreads'!G89</f>
        <v>0.28000000000000114</v>
      </c>
      <c r="E96" s="19">
        <f>C96-'Derived 5Y Spreads'!G61</f>
        <v>2.1400000000000006</v>
      </c>
      <c r="F96" s="19" t="str">
        <f>IFERROR(NA(),"")</f>
        <v/>
      </c>
      <c r="G96" s="20">
        <f>'Derived 5Y Spreads'!E96</f>
      </c>
      <c r="H96" s="21" t="str">
        <f>'Derived 5Y Spreads'!O96</f>
        <v>stale</v>
      </c>
      <c r="I96" s="22" t="str">
        <f>'Derived 5Y Spreads'!A96</f>
        <v>screenshot-reference-20260824-v1</v>
      </c>
      <c r="J96" s="22" t="str">
        <f>'Derived 5Y Spreads'!D96</f>
        <v>SCREENSHOT.ALPHINC.5Y</v>
      </c>
      <c r="K96" s="5"/>
    </row>
    <row r="97" spans="1:11" x14ac:dyDescent="0.25">
      <c r="A97" s="7">
        <v>46203</v>
      </c>
      <c r="B97" s="6" t="s">
        <v>26</v>
      </c>
      <c r="C97" s="23">
        <f>'Derived 5Y Spreads'!G97</f>
        <v>41.86</v>
      </c>
      <c r="D97" s="24">
        <f>C97-'Derived 5Y Spreads'!G90</f>
        <v>-0.14000000000000057</v>
      </c>
      <c r="E97" s="24">
        <f>C97-'Derived 5Y Spreads'!G62</f>
        <v>2.1499999999999986</v>
      </c>
      <c r="F97" s="24" t="str">
        <f>IFERROR(NA(),"")</f>
        <v/>
      </c>
      <c r="G97" s="25">
        <f>'Derived 5Y Spreads'!E97</f>
      </c>
      <c r="H97" s="21" t="str">
        <f>'Derived 5Y Spreads'!O97</f>
        <v>stale</v>
      </c>
      <c r="I97" s="26" t="str">
        <f>'Derived 5Y Spreads'!A97</f>
        <v>screenshot-reference-20260824-v1</v>
      </c>
      <c r="J97" s="26" t="str">
        <f>'Derived 5Y Spreads'!D97</f>
        <v>SCREENSHOT.MSFT.5Y</v>
      </c>
      <c r="K97" s="9"/>
    </row>
    <row r="98" spans="1:11" x14ac:dyDescent="0.25">
      <c r="A98" s="3">
        <v>46203</v>
      </c>
      <c r="B98" s="2" t="s">
        <v>29</v>
      </c>
      <c r="C98" s="18">
        <f>'Derived 5Y Spreads'!G98</f>
        <v>68.75</v>
      </c>
      <c r="D98" s="19">
        <f>C98-'Derived 5Y Spreads'!G91</f>
        <v>-0.37999999999999545</v>
      </c>
      <c r="E98" s="19">
        <f>C98-'Derived 5Y Spreads'!G63</f>
        <v>-1.9599999999999937</v>
      </c>
      <c r="F98" s="19" t="str">
        <f>IFERROR(NA(),"")</f>
        <v/>
      </c>
      <c r="G98" s="20">
        <f>'Derived 5Y Spreads'!E98</f>
      </c>
      <c r="H98" s="21" t="str">
        <f>'Derived 5Y Spreads'!O98</f>
        <v>stale</v>
      </c>
      <c r="I98" s="22" t="str">
        <f>'Derived 5Y Spreads'!A98</f>
        <v>screenshot-reference-20260824-v1</v>
      </c>
      <c r="J98" s="22" t="str">
        <f>'Derived 5Y Spreads'!D98</f>
        <v>SCREENSHOT.METAPL.5Y</v>
      </c>
      <c r="K98" s="5"/>
    </row>
    <row r="99" spans="1:11" x14ac:dyDescent="0.25">
      <c r="A99" s="7">
        <v>46204</v>
      </c>
      <c r="B99" s="6" t="s">
        <v>9</v>
      </c>
      <c r="C99" s="23">
        <f>'Derived 5Y Spreads'!G99</f>
        <v>170.43</v>
      </c>
      <c r="D99" s="24">
        <f>C99-'Derived 5Y Spreads'!G92</f>
        <v>-0.28000000000000114</v>
      </c>
      <c r="E99" s="24">
        <f>C99-'Derived 5Y Spreads'!G64</f>
        <v>7.2900000000000205</v>
      </c>
      <c r="F99" s="24" t="str">
        <f>IFERROR(NA(),"")</f>
        <v/>
      </c>
      <c r="G99" s="25">
        <f>'Derived 5Y Spreads'!E99</f>
      </c>
      <c r="H99" s="21" t="str">
        <f>'Derived 5Y Spreads'!O99</f>
        <v>stale</v>
      </c>
      <c r="I99" s="26" t="str">
        <f>'Derived 5Y Spreads'!A99</f>
        <v>screenshot-reference-20260824-v1</v>
      </c>
      <c r="J99" s="26" t="str">
        <f>'Derived 5Y Spreads'!D99</f>
        <v>SCREENSHOT.ORCLE.5Y</v>
      </c>
      <c r="K99" s="9"/>
    </row>
    <row r="100" spans="1:11" x14ac:dyDescent="0.25">
      <c r="A100" s="3">
        <v>46204</v>
      </c>
      <c r="B100" s="2" t="s">
        <v>14</v>
      </c>
      <c r="C100" s="18">
        <f>'Derived 5Y Spreads'!G100</f>
        <v>573.33</v>
      </c>
      <c r="D100" s="19">
        <f>C100-'Derived 5Y Spreads'!G93</f>
        <v>11.660000000000082</v>
      </c>
      <c r="E100" s="19">
        <f>C100-'Derived 5Y Spreads'!G65</f>
        <v>18.33000000000004</v>
      </c>
      <c r="F100" s="19" t="str">
        <f>IFERROR(NA(),"")</f>
        <v/>
      </c>
      <c r="G100" s="20">
        <f>'Derived 5Y Spreads'!E100</f>
      </c>
      <c r="H100" s="21" t="str">
        <f>'Derived 5Y Spreads'!O100</f>
        <v>stale</v>
      </c>
      <c r="I100" s="22" t="str">
        <f>'Derived 5Y Spreads'!A100</f>
        <v>screenshot-reference-20260824-v1</v>
      </c>
      <c r="J100" s="22" t="str">
        <f>'Derived 5Y Spreads'!D100</f>
        <v>SCREENSHOT.COREWEI.5Y</v>
      </c>
      <c r="K100" s="5"/>
    </row>
    <row r="101" spans="1:11" x14ac:dyDescent="0.25">
      <c r="A101" s="7">
        <v>46204</v>
      </c>
      <c r="B101" s="6" t="s">
        <v>17</v>
      </c>
      <c r="C101" s="23">
        <f>'Derived 5Y Spreads'!G101</f>
        <v>45.78</v>
      </c>
      <c r="D101" s="24">
        <f>C101-'Derived 5Y Spreads'!G94</f>
        <v>-0.10999999999999943</v>
      </c>
      <c r="E101" s="24">
        <f>C101-'Derived 5Y Spreads'!G66</f>
        <v>4.07</v>
      </c>
      <c r="F101" s="24" t="str">
        <f>IFERROR(NA(),"")</f>
        <v/>
      </c>
      <c r="G101" s="25">
        <f>'Derived 5Y Spreads'!E101</f>
      </c>
      <c r="H101" s="21" t="str">
        <f>'Derived 5Y Spreads'!O101</f>
        <v>stale</v>
      </c>
      <c r="I101" s="26" t="str">
        <f>'Derived 5Y Spreads'!A101</f>
        <v>screenshot-reference-20260824-v1</v>
      </c>
      <c r="J101" s="26" t="str">
        <f>'Derived 5Y Spreads'!D101</f>
        <v>SCREENSHOT.NVIDIA.5Y</v>
      </c>
      <c r="K101" s="9"/>
    </row>
    <row r="102" spans="1:11" x14ac:dyDescent="0.25">
      <c r="A102" s="3">
        <v>46204</v>
      </c>
      <c r="B102" s="2" t="s">
        <v>20</v>
      </c>
      <c r="C102" s="18">
        <f>'Derived 5Y Spreads'!G102</f>
        <v>54.88</v>
      </c>
      <c r="D102" s="19">
        <f>C102-'Derived 5Y Spreads'!G95</f>
        <v>0.13000000000000256</v>
      </c>
      <c r="E102" s="19">
        <f>C102-'Derived 5Y Spreads'!G67</f>
        <v>0.8800000000000026</v>
      </c>
      <c r="F102" s="19" t="str">
        <f>IFERROR(NA(),"")</f>
        <v/>
      </c>
      <c r="G102" s="20">
        <f>'Derived 5Y Spreads'!E102</f>
      </c>
      <c r="H102" s="21" t="str">
        <f>'Derived 5Y Spreads'!O102</f>
        <v>stale</v>
      </c>
      <c r="I102" s="22" t="str">
        <f>'Derived 5Y Spreads'!A102</f>
        <v>screenshot-reference-20260824-v1</v>
      </c>
      <c r="J102" s="22" t="str">
        <f>'Derived 5Y Spreads'!D102</f>
        <v>SCREENSHOT.AMZN.5Y</v>
      </c>
      <c r="K102" s="5"/>
    </row>
    <row r="103" spans="1:11" x14ac:dyDescent="0.25">
      <c r="A103" s="7">
        <v>46204</v>
      </c>
      <c r="B103" s="6" t="s">
        <v>23</v>
      </c>
      <c r="C103" s="23">
        <f>'Derived 5Y Spreads'!G103</f>
        <v>54</v>
      </c>
      <c r="D103" s="24">
        <f>C103-'Derived 5Y Spreads'!G96</f>
        <v>0.28999999999999915</v>
      </c>
      <c r="E103" s="24">
        <f>C103-'Derived 5Y Spreads'!G68</f>
        <v>2</v>
      </c>
      <c r="F103" s="24" t="str">
        <f>IFERROR(NA(),"")</f>
        <v/>
      </c>
      <c r="G103" s="25">
        <f>'Derived 5Y Spreads'!E103</f>
      </c>
      <c r="H103" s="21" t="str">
        <f>'Derived 5Y Spreads'!O103</f>
        <v>stale</v>
      </c>
      <c r="I103" s="26" t="str">
        <f>'Derived 5Y Spreads'!A103</f>
        <v>screenshot-reference-20260824-v1</v>
      </c>
      <c r="J103" s="26" t="str">
        <f>'Derived 5Y Spreads'!D103</f>
        <v>SCREENSHOT.ALPHINC.5Y</v>
      </c>
      <c r="K103" s="9"/>
    </row>
    <row r="104" spans="1:11" x14ac:dyDescent="0.25">
      <c r="A104" s="3">
        <v>46204</v>
      </c>
      <c r="B104" s="2" t="s">
        <v>26</v>
      </c>
      <c r="C104" s="18">
        <f>'Derived 5Y Spreads'!G104</f>
        <v>41.71</v>
      </c>
      <c r="D104" s="19">
        <f>C104-'Derived 5Y Spreads'!G97</f>
        <v>-0.14999999999999858</v>
      </c>
      <c r="E104" s="19">
        <f>C104-'Derived 5Y Spreads'!G69</f>
        <v>1.7100000000000009</v>
      </c>
      <c r="F104" s="19" t="str">
        <f>IFERROR(NA(),"")</f>
        <v/>
      </c>
      <c r="G104" s="20">
        <f>'Derived 5Y Spreads'!E104</f>
      </c>
      <c r="H104" s="21" t="str">
        <f>'Derived 5Y Spreads'!O104</f>
        <v>stale</v>
      </c>
      <c r="I104" s="22" t="str">
        <f>'Derived 5Y Spreads'!A104</f>
        <v>screenshot-reference-20260824-v1</v>
      </c>
      <c r="J104" s="22" t="str">
        <f>'Derived 5Y Spreads'!D104</f>
        <v>SCREENSHOT.MSFT.5Y</v>
      </c>
      <c r="K104" s="5"/>
    </row>
    <row r="105" spans="1:11" x14ac:dyDescent="0.25">
      <c r="A105" s="7">
        <v>46204</v>
      </c>
      <c r="B105" s="6" t="s">
        <v>29</v>
      </c>
      <c r="C105" s="23">
        <f>'Derived 5Y Spreads'!G105</f>
        <v>68.38</v>
      </c>
      <c r="D105" s="24">
        <f>C105-'Derived 5Y Spreads'!G98</f>
        <v>-0.37000000000000455</v>
      </c>
      <c r="E105" s="24">
        <f>C105-'Derived 5Y Spreads'!G70</f>
        <v>-2.6200000000000045</v>
      </c>
      <c r="F105" s="24" t="str">
        <f>IFERROR(NA(),"")</f>
        <v/>
      </c>
      <c r="G105" s="25">
        <f>'Derived 5Y Spreads'!E105</f>
      </c>
      <c r="H105" s="21" t="str">
        <f>'Derived 5Y Spreads'!O105</f>
        <v>stale</v>
      </c>
      <c r="I105" s="26" t="str">
        <f>'Derived 5Y Spreads'!A105</f>
        <v>screenshot-reference-20260824-v1</v>
      </c>
      <c r="J105" s="26" t="str">
        <f>'Derived 5Y Spreads'!D105</f>
        <v>SCREENSHOT.METAPL.5Y</v>
      </c>
      <c r="K105" s="9"/>
    </row>
    <row r="106" spans="1:11" x14ac:dyDescent="0.25">
      <c r="A106" s="3">
        <v>46205</v>
      </c>
      <c r="B106" s="2" t="s">
        <v>9</v>
      </c>
      <c r="C106" s="18">
        <f>'Derived 5Y Spreads'!G106</f>
        <v>170.14</v>
      </c>
      <c r="D106" s="19">
        <f>C106-'Derived 5Y Spreads'!G99</f>
        <v>-0.29000000000002046</v>
      </c>
      <c r="E106" s="19">
        <f>C106-'Derived 5Y Spreads'!G71</f>
        <v>5.429999999999978</v>
      </c>
      <c r="F106" s="19" t="str">
        <f>IFERROR(NA(),"")</f>
        <v/>
      </c>
      <c r="G106" s="20">
        <f>'Derived 5Y Spreads'!E106</f>
      </c>
      <c r="H106" s="21" t="str">
        <f>'Derived 5Y Spreads'!O106</f>
        <v>stale</v>
      </c>
      <c r="I106" s="22" t="str">
        <f>'Derived 5Y Spreads'!A106</f>
        <v>screenshot-reference-20260824-v1</v>
      </c>
      <c r="J106" s="22" t="str">
        <f>'Derived 5Y Spreads'!D106</f>
        <v>SCREENSHOT.ORCLE.5Y</v>
      </c>
      <c r="K106" s="5"/>
    </row>
    <row r="107" spans="1:11" x14ac:dyDescent="0.25">
      <c r="A107" s="7">
        <v>46205</v>
      </c>
      <c r="B107" s="6" t="s">
        <v>14</v>
      </c>
      <c r="C107" s="23">
        <f>'Derived 5Y Spreads'!G107</f>
        <v>585</v>
      </c>
      <c r="D107" s="24">
        <f>C107-'Derived 5Y Spreads'!G100</f>
        <v>11.669999999999959</v>
      </c>
      <c r="E107" s="24">
        <f>C107-'Derived 5Y Spreads'!G72</f>
        <v>31</v>
      </c>
      <c r="F107" s="24" t="str">
        <f>IFERROR(NA(),"")</f>
        <v/>
      </c>
      <c r="G107" s="25">
        <f>'Derived 5Y Spreads'!E107</f>
      </c>
      <c r="H107" s="21" t="str">
        <f>'Derived 5Y Spreads'!O107</f>
        <v>stale</v>
      </c>
      <c r="I107" s="26" t="str">
        <f>'Derived 5Y Spreads'!A107</f>
        <v>screenshot-reference-20260824-v1</v>
      </c>
      <c r="J107" s="26" t="str">
        <f>'Derived 5Y Spreads'!D107</f>
        <v>SCREENSHOT.COREWEI.5Y</v>
      </c>
      <c r="K107" s="9"/>
    </row>
    <row r="108" spans="1:11" x14ac:dyDescent="0.25">
      <c r="A108" s="3">
        <v>46205</v>
      </c>
      <c r="B108" s="2" t="s">
        <v>17</v>
      </c>
      <c r="C108" s="18">
        <f>'Derived 5Y Spreads'!G108</f>
        <v>45.67</v>
      </c>
      <c r="D108" s="19">
        <f>C108-'Derived 5Y Spreads'!G101</f>
        <v>-0.10999999999999943</v>
      </c>
      <c r="E108" s="19">
        <f>C108-'Derived 5Y Spreads'!G73</f>
        <v>3.1000000000000014</v>
      </c>
      <c r="F108" s="19" t="str">
        <f>IFERROR(NA(),"")</f>
        <v/>
      </c>
      <c r="G108" s="20">
        <f>'Derived 5Y Spreads'!E108</f>
      </c>
      <c r="H108" s="21" t="str">
        <f>'Derived 5Y Spreads'!O108</f>
        <v>stale</v>
      </c>
      <c r="I108" s="22" t="str">
        <f>'Derived 5Y Spreads'!A108</f>
        <v>screenshot-reference-20260824-v1</v>
      </c>
      <c r="J108" s="22" t="str">
        <f>'Derived 5Y Spreads'!D108</f>
        <v>SCREENSHOT.NVIDIA.5Y</v>
      </c>
      <c r="K108" s="5"/>
    </row>
    <row r="109" spans="1:11" x14ac:dyDescent="0.25">
      <c r="A109" s="7">
        <v>46205</v>
      </c>
      <c r="B109" s="6" t="s">
        <v>20</v>
      </c>
      <c r="C109" s="23">
        <f>'Derived 5Y Spreads'!G109</f>
        <v>55</v>
      </c>
      <c r="D109" s="24">
        <f>C109-'Derived 5Y Spreads'!G102</f>
        <v>0.11999999999999744</v>
      </c>
      <c r="E109" s="24">
        <f>C109-'Derived 5Y Spreads'!G74</f>
        <v>0.8699999999999974</v>
      </c>
      <c r="F109" s="24" t="str">
        <f>IFERROR(NA(),"")</f>
        <v/>
      </c>
      <c r="G109" s="25">
        <f>'Derived 5Y Spreads'!E109</f>
      </c>
      <c r="H109" s="21" t="str">
        <f>'Derived 5Y Spreads'!O109</f>
        <v>stale</v>
      </c>
      <c r="I109" s="26" t="str">
        <f>'Derived 5Y Spreads'!A109</f>
        <v>screenshot-reference-20260824-v1</v>
      </c>
      <c r="J109" s="26" t="str">
        <f>'Derived 5Y Spreads'!D109</f>
        <v>SCREENSHOT.AMZN.5Y</v>
      </c>
      <c r="K109" s="9"/>
    </row>
    <row r="110" spans="1:11" x14ac:dyDescent="0.25">
      <c r="A110" s="3">
        <v>46205</v>
      </c>
      <c r="B110" s="2" t="s">
        <v>23</v>
      </c>
      <c r="C110" s="18">
        <f>'Derived 5Y Spreads'!G110</f>
        <v>53.8</v>
      </c>
      <c r="D110" s="19">
        <f>C110-'Derived 5Y Spreads'!G103</f>
        <v>-0.20000000000000284</v>
      </c>
      <c r="E110" s="19">
        <f>C110-'Derived 5Y Spreads'!G75</f>
        <v>1.509999999999998</v>
      </c>
      <c r="F110" s="19" t="str">
        <f>IFERROR(NA(),"")</f>
        <v/>
      </c>
      <c r="G110" s="20">
        <f>'Derived 5Y Spreads'!E110</f>
      </c>
      <c r="H110" s="21" t="str">
        <f>'Derived 5Y Spreads'!O110</f>
        <v>stale</v>
      </c>
      <c r="I110" s="22" t="str">
        <f>'Derived 5Y Spreads'!A110</f>
        <v>screenshot-reference-20260824-v1</v>
      </c>
      <c r="J110" s="22" t="str">
        <f>'Derived 5Y Spreads'!D110</f>
        <v>SCREENSHOT.ALPHINC.5Y</v>
      </c>
      <c r="K110" s="5"/>
    </row>
    <row r="111" spans="1:11" x14ac:dyDescent="0.25">
      <c r="A111" s="7">
        <v>46205</v>
      </c>
      <c r="B111" s="6" t="s">
        <v>26</v>
      </c>
      <c r="C111" s="23">
        <f>'Derived 5Y Spreads'!G111</f>
        <v>41.57</v>
      </c>
      <c r="D111" s="24">
        <f>C111-'Derived 5Y Spreads'!G104</f>
        <v>-0.14000000000000057</v>
      </c>
      <c r="E111" s="24">
        <f>C111-'Derived 5Y Spreads'!G76</f>
        <v>1.1700000000000017</v>
      </c>
      <c r="F111" s="24" t="str">
        <f>IFERROR(NA(),"")</f>
        <v/>
      </c>
      <c r="G111" s="25">
        <f>'Derived 5Y Spreads'!E111</f>
      </c>
      <c r="H111" s="21" t="str">
        <f>'Derived 5Y Spreads'!O111</f>
        <v>stale</v>
      </c>
      <c r="I111" s="26" t="str">
        <f>'Derived 5Y Spreads'!A111</f>
        <v>screenshot-reference-20260824-v1</v>
      </c>
      <c r="J111" s="26" t="str">
        <f>'Derived 5Y Spreads'!D111</f>
        <v>SCREENSHOT.MSFT.5Y</v>
      </c>
      <c r="K111" s="9"/>
    </row>
    <row r="112" spans="1:11" x14ac:dyDescent="0.25">
      <c r="A112" s="3">
        <v>46205</v>
      </c>
      <c r="B112" s="2" t="s">
        <v>29</v>
      </c>
      <c r="C112" s="18">
        <f>'Derived 5Y Spreads'!G112</f>
        <v>68</v>
      </c>
      <c r="D112" s="19">
        <f>C112-'Derived 5Y Spreads'!G105</f>
        <v>-0.37999999999999545</v>
      </c>
      <c r="E112" s="19">
        <f>C112-'Derived 5Y Spreads'!G77</f>
        <v>-2.6299999999999955</v>
      </c>
      <c r="F112" s="19" t="str">
        <f>IFERROR(NA(),"")</f>
        <v/>
      </c>
      <c r="G112" s="20">
        <f>'Derived 5Y Spreads'!E112</f>
      </c>
      <c r="H112" s="21" t="str">
        <f>'Derived 5Y Spreads'!O112</f>
        <v>stale</v>
      </c>
      <c r="I112" s="22" t="str">
        <f>'Derived 5Y Spreads'!A112</f>
        <v>screenshot-reference-20260824-v1</v>
      </c>
      <c r="J112" s="22" t="str">
        <f>'Derived 5Y Spreads'!D112</f>
        <v>SCREENSHOT.METAPL.5Y</v>
      </c>
      <c r="K112" s="5"/>
    </row>
    <row r="113" spans="1:11" x14ac:dyDescent="0.25">
      <c r="A113" s="7">
        <v>46206</v>
      </c>
      <c r="B113" s="6" t="s">
        <v>9</v>
      </c>
      <c r="C113" s="23">
        <f>'Derived 5Y Spreads'!G113</f>
        <v>169.86</v>
      </c>
      <c r="D113" s="24">
        <f>C113-'Derived 5Y Spreads'!G106</f>
        <v>-0.2799999999999727</v>
      </c>
      <c r="E113" s="24">
        <f>C113-'Derived 5Y Spreads'!G78</f>
        <v>3.5700000000000216</v>
      </c>
      <c r="F113" s="24" t="str">
        <f>IFERROR(NA(),"")</f>
        <v/>
      </c>
      <c r="G113" s="25">
        <f>'Derived 5Y Spreads'!E113</f>
      </c>
      <c r="H113" s="21" t="str">
        <f>'Derived 5Y Spreads'!O113</f>
        <v>stale</v>
      </c>
      <c r="I113" s="26" t="str">
        <f>'Derived 5Y Spreads'!A113</f>
        <v>screenshot-reference-20260824-v1</v>
      </c>
      <c r="J113" s="26" t="str">
        <f>'Derived 5Y Spreads'!D113</f>
        <v>SCREENSHOT.ORCLE.5Y</v>
      </c>
      <c r="K113" s="9"/>
    </row>
    <row r="114" spans="1:11" x14ac:dyDescent="0.25">
      <c r="A114" s="3">
        <v>46206</v>
      </c>
      <c r="B114" s="2" t="s">
        <v>14</v>
      </c>
      <c r="C114" s="18">
        <f>'Derived 5Y Spreads'!G114</f>
        <v>587.5</v>
      </c>
      <c r="D114" s="19">
        <f>C114-'Derived 5Y Spreads'!G107</f>
        <v>2.5</v>
      </c>
      <c r="E114" s="19">
        <f>C114-'Derived 5Y Spreads'!G79</f>
        <v>34.5</v>
      </c>
      <c r="F114" s="19" t="str">
        <f>IFERROR(NA(),"")</f>
        <v/>
      </c>
      <c r="G114" s="20">
        <f>'Derived 5Y Spreads'!E114</f>
      </c>
      <c r="H114" s="21" t="str">
        <f>'Derived 5Y Spreads'!O114</f>
        <v>stale</v>
      </c>
      <c r="I114" s="22" t="str">
        <f>'Derived 5Y Spreads'!A114</f>
        <v>screenshot-reference-20260824-v1</v>
      </c>
      <c r="J114" s="22" t="str">
        <f>'Derived 5Y Spreads'!D114</f>
        <v>SCREENSHOT.COREWEI.5Y</v>
      </c>
      <c r="K114" s="5"/>
    </row>
    <row r="115" spans="1:11" x14ac:dyDescent="0.25">
      <c r="A115" s="7">
        <v>46206</v>
      </c>
      <c r="B115" s="6" t="s">
        <v>17</v>
      </c>
      <c r="C115" s="23">
        <f>'Derived 5Y Spreads'!G115</f>
        <v>45.56</v>
      </c>
      <c r="D115" s="24">
        <f>C115-'Derived 5Y Spreads'!G108</f>
        <v>-0.10999999999999943</v>
      </c>
      <c r="E115" s="24">
        <f>C115-'Derived 5Y Spreads'!G80</f>
        <v>2.1300000000000026</v>
      </c>
      <c r="F115" s="24" t="str">
        <f>IFERROR(NA(),"")</f>
        <v/>
      </c>
      <c r="G115" s="25">
        <f>'Derived 5Y Spreads'!E115</f>
      </c>
      <c r="H115" s="21" t="str">
        <f>'Derived 5Y Spreads'!O115</f>
        <v>stale</v>
      </c>
      <c r="I115" s="26" t="str">
        <f>'Derived 5Y Spreads'!A115</f>
        <v>screenshot-reference-20260824-v1</v>
      </c>
      <c r="J115" s="26" t="str">
        <f>'Derived 5Y Spreads'!D115</f>
        <v>SCREENSHOT.NVIDIA.5Y</v>
      </c>
      <c r="K115" s="9"/>
    </row>
    <row r="116" spans="1:11" x14ac:dyDescent="0.25">
      <c r="A116" s="3">
        <v>46206</v>
      </c>
      <c r="B116" s="2" t="s">
        <v>20</v>
      </c>
      <c r="C116" s="18">
        <f>'Derived 5Y Spreads'!G116</f>
        <v>54.5</v>
      </c>
      <c r="D116" s="19">
        <f>C116-'Derived 5Y Spreads'!G109</f>
        <v>-0.5</v>
      </c>
      <c r="E116" s="19">
        <f>C116-'Derived 5Y Spreads'!G81</f>
        <v>0.25</v>
      </c>
      <c r="F116" s="19" t="str">
        <f>IFERROR(NA(),"")</f>
        <v/>
      </c>
      <c r="G116" s="20">
        <f>'Derived 5Y Spreads'!E116</f>
      </c>
      <c r="H116" s="21" t="str">
        <f>'Derived 5Y Spreads'!O116</f>
        <v>stale</v>
      </c>
      <c r="I116" s="22" t="str">
        <f>'Derived 5Y Spreads'!A116</f>
        <v>screenshot-reference-20260824-v1</v>
      </c>
      <c r="J116" s="22" t="str">
        <f>'Derived 5Y Spreads'!D116</f>
        <v>SCREENSHOT.AMZN.5Y</v>
      </c>
      <c r="K116" s="5"/>
    </row>
    <row r="117" spans="1:11" x14ac:dyDescent="0.25">
      <c r="A117" s="7">
        <v>46206</v>
      </c>
      <c r="B117" s="6" t="s">
        <v>23</v>
      </c>
      <c r="C117" s="23">
        <f>'Derived 5Y Spreads'!G117</f>
        <v>53.6</v>
      </c>
      <c r="D117" s="24">
        <f>C117-'Derived 5Y Spreads'!G110</f>
        <v>-0.19999999999999574</v>
      </c>
      <c r="E117" s="24">
        <f>C117-'Derived 5Y Spreads'!G82</f>
        <v>1.0300000000000011</v>
      </c>
      <c r="F117" s="24" t="str">
        <f>IFERROR(NA(),"")</f>
        <v/>
      </c>
      <c r="G117" s="25">
        <f>'Derived 5Y Spreads'!E117</f>
      </c>
      <c r="H117" s="21" t="str">
        <f>'Derived 5Y Spreads'!O117</f>
        <v>stale</v>
      </c>
      <c r="I117" s="26" t="str">
        <f>'Derived 5Y Spreads'!A117</f>
        <v>screenshot-reference-20260824-v1</v>
      </c>
      <c r="J117" s="26" t="str">
        <f>'Derived 5Y Spreads'!D117</f>
        <v>SCREENSHOT.ALPHINC.5Y</v>
      </c>
      <c r="K117" s="9"/>
    </row>
    <row r="118" spans="1:11" x14ac:dyDescent="0.25">
      <c r="A118" s="3">
        <v>46206</v>
      </c>
      <c r="B118" s="2" t="s">
        <v>26</v>
      </c>
      <c r="C118" s="18">
        <f>'Derived 5Y Spreads'!G118</f>
        <v>41.43</v>
      </c>
      <c r="D118" s="19">
        <f>C118-'Derived 5Y Spreads'!G111</f>
        <v>-0.14000000000000057</v>
      </c>
      <c r="E118" s="19">
        <f>C118-'Derived 5Y Spreads'!G83</f>
        <v>0.6300000000000026</v>
      </c>
      <c r="F118" s="19" t="str">
        <f>IFERROR(NA(),"")</f>
        <v/>
      </c>
      <c r="G118" s="20">
        <f>'Derived 5Y Spreads'!E118</f>
      </c>
      <c r="H118" s="21" t="str">
        <f>'Derived 5Y Spreads'!O118</f>
        <v>stale</v>
      </c>
      <c r="I118" s="22" t="str">
        <f>'Derived 5Y Spreads'!A118</f>
        <v>screenshot-reference-20260824-v1</v>
      </c>
      <c r="J118" s="22" t="str">
        <f>'Derived 5Y Spreads'!D118</f>
        <v>SCREENSHOT.MSFT.5Y</v>
      </c>
      <c r="K118" s="5"/>
    </row>
    <row r="119" spans="1:11" x14ac:dyDescent="0.25">
      <c r="A119" s="7">
        <v>46206</v>
      </c>
      <c r="B119" s="6" t="s">
        <v>29</v>
      </c>
      <c r="C119" s="23">
        <f>'Derived 5Y Spreads'!G119</f>
        <v>68.25</v>
      </c>
      <c r="D119" s="24">
        <f>C119-'Derived 5Y Spreads'!G112</f>
        <v>0.25</v>
      </c>
      <c r="E119" s="24">
        <f>C119-'Derived 5Y Spreads'!G84</f>
        <v>-2</v>
      </c>
      <c r="F119" s="24" t="str">
        <f>IFERROR(NA(),"")</f>
        <v/>
      </c>
      <c r="G119" s="25">
        <f>'Derived 5Y Spreads'!E119</f>
      </c>
      <c r="H119" s="21" t="str">
        <f>'Derived 5Y Spreads'!O119</f>
        <v>stale</v>
      </c>
      <c r="I119" s="26" t="str">
        <f>'Derived 5Y Spreads'!A119</f>
        <v>screenshot-reference-20260824-v1</v>
      </c>
      <c r="J119" s="26" t="str">
        <f>'Derived 5Y Spreads'!D119</f>
        <v>SCREENSHOT.METAPL.5Y</v>
      </c>
      <c r="K119" s="9"/>
    </row>
    <row r="120" spans="1:11" x14ac:dyDescent="0.25">
      <c r="A120" s="3">
        <v>46209</v>
      </c>
      <c r="B120" s="2" t="s">
        <v>9</v>
      </c>
      <c r="C120" s="18">
        <f>'Derived 5Y Spreads'!G120</f>
        <v>169</v>
      </c>
      <c r="D120" s="19">
        <f>C120-'Derived 5Y Spreads'!G113</f>
        <v>-0.8600000000000136</v>
      </c>
      <c r="E120" s="19">
        <f>C120-'Derived 5Y Spreads'!G85</f>
        <v>-2</v>
      </c>
      <c r="F120" s="19" t="str">
        <f>IFERROR(NA(),"")</f>
        <v/>
      </c>
      <c r="G120" s="20">
        <f>'Derived 5Y Spreads'!E120</f>
      </c>
      <c r="H120" s="21" t="str">
        <f>'Derived 5Y Spreads'!O120</f>
        <v>stale</v>
      </c>
      <c r="I120" s="22" t="str">
        <f>'Derived 5Y Spreads'!A120</f>
        <v>screenshot-reference-20260824-v1</v>
      </c>
      <c r="J120" s="22" t="str">
        <f>'Derived 5Y Spreads'!D120</f>
        <v>SCREENSHOT.ORCLE.5Y</v>
      </c>
      <c r="K120" s="5"/>
    </row>
    <row r="121" spans="1:11" x14ac:dyDescent="0.25">
      <c r="A121" s="7">
        <v>46209</v>
      </c>
      <c r="B121" s="6" t="s">
        <v>14</v>
      </c>
      <c r="C121" s="23">
        <f>'Derived 5Y Spreads'!G121</f>
        <v>595</v>
      </c>
      <c r="D121" s="24">
        <f>C121-'Derived 5Y Spreads'!G114</f>
        <v>7.5</v>
      </c>
      <c r="E121" s="24">
        <f>C121-'Derived 5Y Spreads'!G86</f>
        <v>45</v>
      </c>
      <c r="F121" s="24" t="str">
        <f>IFERROR(NA(),"")</f>
        <v/>
      </c>
      <c r="G121" s="25">
        <f>'Derived 5Y Spreads'!E121</f>
      </c>
      <c r="H121" s="21" t="str">
        <f>'Derived 5Y Spreads'!O121</f>
        <v>stale</v>
      </c>
      <c r="I121" s="26" t="str">
        <f>'Derived 5Y Spreads'!A121</f>
        <v>screenshot-reference-20260824-v1</v>
      </c>
      <c r="J121" s="26" t="str">
        <f>'Derived 5Y Spreads'!D121</f>
        <v>SCREENSHOT.COREWEI.5Y</v>
      </c>
      <c r="K121" s="9"/>
    </row>
    <row r="122" spans="1:11" x14ac:dyDescent="0.25">
      <c r="A122" s="3">
        <v>46209</v>
      </c>
      <c r="B122" s="2" t="s">
        <v>17</v>
      </c>
      <c r="C122" s="18">
        <f>'Derived 5Y Spreads'!G122</f>
        <v>45.22</v>
      </c>
      <c r="D122" s="19">
        <f>C122-'Derived 5Y Spreads'!G115</f>
        <v>-0.3400000000000034</v>
      </c>
      <c r="E122" s="19">
        <f>C122-'Derived 5Y Spreads'!G87</f>
        <v>-0.7800000000000011</v>
      </c>
      <c r="F122" s="19" t="str">
        <f>IFERROR(NA(),"")</f>
        <v/>
      </c>
      <c r="G122" s="20">
        <f>'Derived 5Y Spreads'!E122</f>
      </c>
      <c r="H122" s="21" t="str">
        <f>'Derived 5Y Spreads'!O122</f>
        <v>stale</v>
      </c>
      <c r="I122" s="22" t="str">
        <f>'Derived 5Y Spreads'!A122</f>
        <v>screenshot-reference-20260824-v1</v>
      </c>
      <c r="J122" s="22" t="str">
        <f>'Derived 5Y Spreads'!D122</f>
        <v>SCREENSHOT.NVIDIA.5Y</v>
      </c>
      <c r="K122" s="5"/>
    </row>
    <row r="123" spans="1:11" x14ac:dyDescent="0.25">
      <c r="A123" s="7">
        <v>46209</v>
      </c>
      <c r="B123" s="6" t="s">
        <v>20</v>
      </c>
      <c r="C123" s="23">
        <f>'Derived 5Y Spreads'!G123</f>
        <v>53</v>
      </c>
      <c r="D123" s="24">
        <f>C123-'Derived 5Y Spreads'!G116</f>
        <v>-1.5</v>
      </c>
      <c r="E123" s="24">
        <f>C123-'Derived 5Y Spreads'!G88</f>
        <v>-1.6300000000000026</v>
      </c>
      <c r="F123" s="24" t="str">
        <f>IFERROR(NA(),"")</f>
        <v/>
      </c>
      <c r="G123" s="25">
        <f>'Derived 5Y Spreads'!E123</f>
      </c>
      <c r="H123" s="21" t="str">
        <f>'Derived 5Y Spreads'!O123</f>
        <v>stale</v>
      </c>
      <c r="I123" s="26" t="str">
        <f>'Derived 5Y Spreads'!A123</f>
        <v>screenshot-reference-20260824-v1</v>
      </c>
      <c r="J123" s="26" t="str">
        <f>'Derived 5Y Spreads'!D123</f>
        <v>SCREENSHOT.AMZN.5Y</v>
      </c>
      <c r="K123" s="9"/>
    </row>
    <row r="124" spans="1:11" x14ac:dyDescent="0.25">
      <c r="A124" s="3">
        <v>46209</v>
      </c>
      <c r="B124" s="2" t="s">
        <v>23</v>
      </c>
      <c r="C124" s="18">
        <f>'Derived 5Y Spreads'!G124</f>
        <v>53</v>
      </c>
      <c r="D124" s="19">
        <f>C124-'Derived 5Y Spreads'!G117</f>
        <v>-0.6000000000000014</v>
      </c>
      <c r="E124" s="19">
        <f>C124-'Derived 5Y Spreads'!G89</f>
        <v>-0.4299999999999997</v>
      </c>
      <c r="F124" s="19" t="str">
        <f>IFERROR(NA(),"")</f>
        <v/>
      </c>
      <c r="G124" s="20">
        <f>'Derived 5Y Spreads'!E124</f>
      </c>
      <c r="H124" s="21" t="str">
        <f>'Derived 5Y Spreads'!O124</f>
        <v>stale</v>
      </c>
      <c r="I124" s="22" t="str">
        <f>'Derived 5Y Spreads'!A124</f>
        <v>screenshot-reference-20260824-v1</v>
      </c>
      <c r="J124" s="22" t="str">
        <f>'Derived 5Y Spreads'!D124</f>
        <v>SCREENSHOT.ALPHINC.5Y</v>
      </c>
      <c r="K124" s="5"/>
    </row>
    <row r="125" spans="1:11" x14ac:dyDescent="0.25">
      <c r="A125" s="7">
        <v>46209</v>
      </c>
      <c r="B125" s="6" t="s">
        <v>26</v>
      </c>
      <c r="C125" s="23">
        <f>'Derived 5Y Spreads'!G125</f>
        <v>41</v>
      </c>
      <c r="D125" s="24">
        <f>C125-'Derived 5Y Spreads'!G118</f>
        <v>-0.4299999999999997</v>
      </c>
      <c r="E125" s="24">
        <f>C125-'Derived 5Y Spreads'!G90</f>
        <v>-1</v>
      </c>
      <c r="F125" s="24" t="str">
        <f>IFERROR(NA(),"")</f>
        <v/>
      </c>
      <c r="G125" s="25">
        <f>'Derived 5Y Spreads'!E125</f>
      </c>
      <c r="H125" s="21" t="str">
        <f>'Derived 5Y Spreads'!O125</f>
        <v>stale</v>
      </c>
      <c r="I125" s="26" t="str">
        <f>'Derived 5Y Spreads'!A125</f>
        <v>screenshot-reference-20260824-v1</v>
      </c>
      <c r="J125" s="26" t="str">
        <f>'Derived 5Y Spreads'!D125</f>
        <v>SCREENSHOT.MSFT.5Y</v>
      </c>
      <c r="K125" s="9"/>
    </row>
    <row r="126" spans="1:11" x14ac:dyDescent="0.25">
      <c r="A126" s="3">
        <v>46209</v>
      </c>
      <c r="B126" s="2" t="s">
        <v>29</v>
      </c>
      <c r="C126" s="18">
        <f>'Derived 5Y Spreads'!G126</f>
        <v>69</v>
      </c>
      <c r="D126" s="19">
        <f>C126-'Derived 5Y Spreads'!G119</f>
        <v>0.75</v>
      </c>
      <c r="E126" s="19">
        <f>C126-'Derived 5Y Spreads'!G91</f>
        <v>-0.12999999999999545</v>
      </c>
      <c r="F126" s="19" t="str">
        <f>IFERROR(NA(),"")</f>
        <v/>
      </c>
      <c r="G126" s="20">
        <f>'Derived 5Y Spreads'!E126</f>
      </c>
      <c r="H126" s="21" t="str">
        <f>'Derived 5Y Spreads'!O126</f>
        <v>stale</v>
      </c>
      <c r="I126" s="22" t="str">
        <f>'Derived 5Y Spreads'!A126</f>
        <v>screenshot-reference-20260824-v1</v>
      </c>
      <c r="J126" s="22" t="str">
        <f>'Derived 5Y Spreads'!D126</f>
        <v>SCREENSHOT.METAPL.5Y</v>
      </c>
      <c r="K126" s="5"/>
    </row>
    <row r="127" spans="1:11" x14ac:dyDescent="0.25">
      <c r="A127" s="7">
        <v>46210</v>
      </c>
      <c r="B127" s="6" t="s">
        <v>9</v>
      </c>
      <c r="C127" s="23">
        <f>'Derived 5Y Spreads'!G127</f>
        <v>171.57</v>
      </c>
      <c r="D127" s="24">
        <f>C127-'Derived 5Y Spreads'!G120</f>
        <v>2.569999999999993</v>
      </c>
      <c r="E127" s="24">
        <f>C127-'Derived 5Y Spreads'!G92</f>
        <v>0.8599999999999852</v>
      </c>
      <c r="F127" s="24" t="str">
        <f>IFERROR(NA(),"")</f>
        <v/>
      </c>
      <c r="G127" s="25">
        <f>'Derived 5Y Spreads'!E127</f>
      </c>
      <c r="H127" s="21" t="str">
        <f>'Derived 5Y Spreads'!O127</f>
        <v>stale</v>
      </c>
      <c r="I127" s="26" t="str">
        <f>'Derived 5Y Spreads'!A127</f>
        <v>screenshot-reference-20260824-v1</v>
      </c>
      <c r="J127" s="26" t="str">
        <f>'Derived 5Y Spreads'!D127</f>
        <v>SCREENSHOT.ORCLE.5Y</v>
      </c>
      <c r="K127" s="9"/>
    </row>
    <row r="128" spans="1:11" x14ac:dyDescent="0.25">
      <c r="A128" s="3">
        <v>46210</v>
      </c>
      <c r="B128" s="2" t="s">
        <v>14</v>
      </c>
      <c r="C128" s="18">
        <f>'Derived 5Y Spreads'!G128</f>
        <v>597.5</v>
      </c>
      <c r="D128" s="19">
        <f>C128-'Derived 5Y Spreads'!G121</f>
        <v>2.5</v>
      </c>
      <c r="E128" s="19">
        <f>C128-'Derived 5Y Spreads'!G93</f>
        <v>35.83000000000004</v>
      </c>
      <c r="F128" s="19" t="str">
        <f>IFERROR(NA(),"")</f>
        <v/>
      </c>
      <c r="G128" s="20">
        <f>'Derived 5Y Spreads'!E128</f>
      </c>
      <c r="H128" s="21" t="str">
        <f>'Derived 5Y Spreads'!O128</f>
        <v>stale</v>
      </c>
      <c r="I128" s="22" t="str">
        <f>'Derived 5Y Spreads'!A128</f>
        <v>screenshot-reference-20260824-v1</v>
      </c>
      <c r="J128" s="22" t="str">
        <f>'Derived 5Y Spreads'!D128</f>
        <v>SCREENSHOT.COREWEI.5Y</v>
      </c>
      <c r="K128" s="5"/>
    </row>
    <row r="129" spans="1:11" x14ac:dyDescent="0.25">
      <c r="A129" s="7">
        <v>46210</v>
      </c>
      <c r="B129" s="6" t="s">
        <v>17</v>
      </c>
      <c r="C129" s="23">
        <f>'Derived 5Y Spreads'!G129</f>
        <v>45.11</v>
      </c>
      <c r="D129" s="24">
        <f>C129-'Derived 5Y Spreads'!G122</f>
        <v>-0.10999999999999943</v>
      </c>
      <c r="E129" s="24">
        <f>C129-'Derived 5Y Spreads'!G94</f>
        <v>-0.7800000000000011</v>
      </c>
      <c r="F129" s="24" t="str">
        <f>IFERROR(NA(),"")</f>
        <v/>
      </c>
      <c r="G129" s="25">
        <f>'Derived 5Y Spreads'!E129</f>
      </c>
      <c r="H129" s="21" t="str">
        <f>'Derived 5Y Spreads'!O129</f>
        <v>stale</v>
      </c>
      <c r="I129" s="26" t="str">
        <f>'Derived 5Y Spreads'!A129</f>
        <v>screenshot-reference-20260824-v1</v>
      </c>
      <c r="J129" s="26" t="str">
        <f>'Derived 5Y Spreads'!D129</f>
        <v>SCREENSHOT.NVIDIA.5Y</v>
      </c>
      <c r="K129" s="9"/>
    </row>
    <row r="130" spans="1:11" x14ac:dyDescent="0.25">
      <c r="A130" s="3">
        <v>46210</v>
      </c>
      <c r="B130" s="2" t="s">
        <v>20</v>
      </c>
      <c r="C130" s="18">
        <f>'Derived 5Y Spreads'!G130</f>
        <v>54</v>
      </c>
      <c r="D130" s="19">
        <f>C130-'Derived 5Y Spreads'!G123</f>
        <v>1</v>
      </c>
      <c r="E130" s="19">
        <f>C130-'Derived 5Y Spreads'!G95</f>
        <v>-0.75</v>
      </c>
      <c r="F130" s="19" t="str">
        <f>IFERROR(NA(),"")</f>
        <v/>
      </c>
      <c r="G130" s="20">
        <f>'Derived 5Y Spreads'!E130</f>
      </c>
      <c r="H130" s="21" t="str">
        <f>'Derived 5Y Spreads'!O130</f>
        <v>stale</v>
      </c>
      <c r="I130" s="22" t="str">
        <f>'Derived 5Y Spreads'!A130</f>
        <v>screenshot-reference-20260824-v1</v>
      </c>
      <c r="J130" s="22" t="str">
        <f>'Derived 5Y Spreads'!D130</f>
        <v>SCREENSHOT.AMZN.5Y</v>
      </c>
      <c r="K130" s="5"/>
    </row>
    <row r="131" spans="1:11" x14ac:dyDescent="0.25">
      <c r="A131" s="7">
        <v>46210</v>
      </c>
      <c r="B131" s="6" t="s">
        <v>23</v>
      </c>
      <c r="C131" s="23">
        <f>'Derived 5Y Spreads'!G131</f>
        <v>54</v>
      </c>
      <c r="D131" s="24">
        <f>C131-'Derived 5Y Spreads'!G124</f>
        <v>1</v>
      </c>
      <c r="E131" s="24">
        <f>C131-'Derived 5Y Spreads'!G96</f>
        <v>0.28999999999999915</v>
      </c>
      <c r="F131" s="24" t="str">
        <f>IFERROR(NA(),"")</f>
        <v/>
      </c>
      <c r="G131" s="25">
        <f>'Derived 5Y Spreads'!E131</f>
      </c>
      <c r="H131" s="21" t="str">
        <f>'Derived 5Y Spreads'!O131</f>
        <v>stale</v>
      </c>
      <c r="I131" s="26" t="str">
        <f>'Derived 5Y Spreads'!A131</f>
        <v>screenshot-reference-20260824-v1</v>
      </c>
      <c r="J131" s="26" t="str">
        <f>'Derived 5Y Spreads'!D131</f>
        <v>SCREENSHOT.ALPHINC.5Y</v>
      </c>
      <c r="K131" s="9"/>
    </row>
    <row r="132" spans="1:11" x14ac:dyDescent="0.25">
      <c r="A132" s="3">
        <v>46210</v>
      </c>
      <c r="B132" s="2" t="s">
        <v>26</v>
      </c>
      <c r="C132" s="18">
        <f>'Derived 5Y Spreads'!G132</f>
        <v>42</v>
      </c>
      <c r="D132" s="19">
        <f>C132-'Derived 5Y Spreads'!G125</f>
        <v>1</v>
      </c>
      <c r="E132" s="19">
        <f>C132-'Derived 5Y Spreads'!G97</f>
        <v>0.14000000000000057</v>
      </c>
      <c r="F132" s="19" t="str">
        <f>IFERROR(NA(),"")</f>
        <v/>
      </c>
      <c r="G132" s="20">
        <f>'Derived 5Y Spreads'!E132</f>
      </c>
      <c r="H132" s="21" t="str">
        <f>'Derived 5Y Spreads'!O132</f>
        <v>stale</v>
      </c>
      <c r="I132" s="22" t="str">
        <f>'Derived 5Y Spreads'!A132</f>
        <v>screenshot-reference-20260824-v1</v>
      </c>
      <c r="J132" s="22" t="str">
        <f>'Derived 5Y Spreads'!D132</f>
        <v>SCREENSHOT.MSFT.5Y</v>
      </c>
      <c r="K132" s="5"/>
    </row>
    <row r="133" spans="1:11" x14ac:dyDescent="0.25">
      <c r="A133" s="7">
        <v>46210</v>
      </c>
      <c r="B133" s="6" t="s">
        <v>29</v>
      </c>
      <c r="C133" s="23">
        <f>'Derived 5Y Spreads'!G133</f>
        <v>70.43</v>
      </c>
      <c r="D133" s="24">
        <f>C133-'Derived 5Y Spreads'!G126</f>
        <v>1.4300000000000068</v>
      </c>
      <c r="E133" s="24">
        <f>C133-'Derived 5Y Spreads'!G98</f>
        <v>1.6800000000000068</v>
      </c>
      <c r="F133" s="24" t="str">
        <f>IFERROR(NA(),"")</f>
        <v/>
      </c>
      <c r="G133" s="25">
        <f>'Derived 5Y Spreads'!E133</f>
      </c>
      <c r="H133" s="21" t="str">
        <f>'Derived 5Y Spreads'!O133</f>
        <v>stale</v>
      </c>
      <c r="I133" s="26" t="str">
        <f>'Derived 5Y Spreads'!A133</f>
        <v>screenshot-reference-20260824-v1</v>
      </c>
      <c r="J133" s="26" t="str">
        <f>'Derived 5Y Spreads'!D133</f>
        <v>SCREENSHOT.METAPL.5Y</v>
      </c>
      <c r="K133" s="9"/>
    </row>
    <row r="134" spans="1:11" x14ac:dyDescent="0.25">
      <c r="A134" s="3">
        <v>46211</v>
      </c>
      <c r="B134" s="2" t="s">
        <v>9</v>
      </c>
      <c r="C134" s="18">
        <f>'Derived 5Y Spreads'!G134</f>
        <v>174.14</v>
      </c>
      <c r="D134" s="19">
        <f>C134-'Derived 5Y Spreads'!G127</f>
        <v>2.569999999999993</v>
      </c>
      <c r="E134" s="19">
        <f>C134-'Derived 5Y Spreads'!G99</f>
        <v>3.7099999999999795</v>
      </c>
      <c r="F134" s="19" t="str">
        <f>IFERROR(NA(),"")</f>
        <v/>
      </c>
      <c r="G134" s="20">
        <f>'Derived 5Y Spreads'!E134</f>
      </c>
      <c r="H134" s="21" t="str">
        <f>'Derived 5Y Spreads'!O134</f>
        <v>stale</v>
      </c>
      <c r="I134" s="22" t="str">
        <f>'Derived 5Y Spreads'!A134</f>
        <v>screenshot-reference-20260824-v1</v>
      </c>
      <c r="J134" s="22" t="str">
        <f>'Derived 5Y Spreads'!D134</f>
        <v>SCREENSHOT.ORCLE.5Y</v>
      </c>
      <c r="K134" s="5"/>
    </row>
    <row r="135" spans="1:11" x14ac:dyDescent="0.25">
      <c r="A135" s="7">
        <v>46211</v>
      </c>
      <c r="B135" s="6" t="s">
        <v>14</v>
      </c>
      <c r="C135" s="23">
        <f>'Derived 5Y Spreads'!G135</f>
        <v>600</v>
      </c>
      <c r="D135" s="24">
        <f>C135-'Derived 5Y Spreads'!G128</f>
        <v>2.5</v>
      </c>
      <c r="E135" s="24">
        <f>C135-'Derived 5Y Spreads'!G100</f>
        <v>26.66999999999996</v>
      </c>
      <c r="F135" s="24" t="str">
        <f>IFERROR(NA(),"")</f>
        <v/>
      </c>
      <c r="G135" s="25">
        <f>'Derived 5Y Spreads'!E135</f>
      </c>
      <c r="H135" s="21" t="str">
        <f>'Derived 5Y Spreads'!O135</f>
        <v>stale</v>
      </c>
      <c r="I135" s="26" t="str">
        <f>'Derived 5Y Spreads'!A135</f>
        <v>screenshot-reference-20260824-v1</v>
      </c>
      <c r="J135" s="26" t="str">
        <f>'Derived 5Y Spreads'!D135</f>
        <v>SCREENSHOT.COREWEI.5Y</v>
      </c>
      <c r="K135" s="9"/>
    </row>
    <row r="136" spans="1:11" x14ac:dyDescent="0.25">
      <c r="A136" s="3">
        <v>46211</v>
      </c>
      <c r="B136" s="2" t="s">
        <v>17</v>
      </c>
      <c r="C136" s="18">
        <f>'Derived 5Y Spreads'!G136</f>
        <v>45</v>
      </c>
      <c r="D136" s="19">
        <f>C136-'Derived 5Y Spreads'!G129</f>
        <v>-0.10999999999999943</v>
      </c>
      <c r="E136" s="19">
        <f>C136-'Derived 5Y Spreads'!G101</f>
        <v>-0.7800000000000011</v>
      </c>
      <c r="F136" s="19" t="str">
        <f>IFERROR(NA(),"")</f>
        <v/>
      </c>
      <c r="G136" s="20">
        <f>'Derived 5Y Spreads'!E136</f>
      </c>
      <c r="H136" s="21" t="str">
        <f>'Derived 5Y Spreads'!O136</f>
        <v>stale</v>
      </c>
      <c r="I136" s="22" t="str">
        <f>'Derived 5Y Spreads'!A136</f>
        <v>screenshot-reference-20260824-v1</v>
      </c>
      <c r="J136" s="22" t="str">
        <f>'Derived 5Y Spreads'!D136</f>
        <v>SCREENSHOT.NVIDIA.5Y</v>
      </c>
      <c r="K136" s="5"/>
    </row>
    <row r="137" spans="1:11" x14ac:dyDescent="0.25">
      <c r="A137" s="7">
        <v>46211</v>
      </c>
      <c r="B137" s="6" t="s">
        <v>20</v>
      </c>
      <c r="C137" s="23">
        <f>'Derived 5Y Spreads'!G137</f>
        <v>55</v>
      </c>
      <c r="D137" s="24">
        <f>C137-'Derived 5Y Spreads'!G130</f>
        <v>1</v>
      </c>
      <c r="E137" s="24">
        <f>C137-'Derived 5Y Spreads'!G102</f>
        <v>0.11999999999999744</v>
      </c>
      <c r="F137" s="24" t="str">
        <f>IFERROR(NA(),"")</f>
        <v/>
      </c>
      <c r="G137" s="25">
        <f>'Derived 5Y Spreads'!E137</f>
      </c>
      <c r="H137" s="21" t="str">
        <f>'Derived 5Y Spreads'!O137</f>
        <v>stale</v>
      </c>
      <c r="I137" s="26" t="str">
        <f>'Derived 5Y Spreads'!A137</f>
        <v>screenshot-reference-20260824-v1</v>
      </c>
      <c r="J137" s="26" t="str">
        <f>'Derived 5Y Spreads'!D137</f>
        <v>SCREENSHOT.AMZN.5Y</v>
      </c>
      <c r="K137" s="9"/>
    </row>
    <row r="138" spans="1:11" x14ac:dyDescent="0.25">
      <c r="A138" s="3">
        <v>46211</v>
      </c>
      <c r="B138" s="2" t="s">
        <v>23</v>
      </c>
      <c r="C138" s="18">
        <f>'Derived 5Y Spreads'!G138</f>
        <v>55</v>
      </c>
      <c r="D138" s="19">
        <f>C138-'Derived 5Y Spreads'!G131</f>
        <v>1</v>
      </c>
      <c r="E138" s="19">
        <f>C138-'Derived 5Y Spreads'!G103</f>
        <v>1</v>
      </c>
      <c r="F138" s="19" t="str">
        <f>IFERROR(NA(),"")</f>
        <v/>
      </c>
      <c r="G138" s="20">
        <f>'Derived 5Y Spreads'!E138</f>
      </c>
      <c r="H138" s="21" t="str">
        <f>'Derived 5Y Spreads'!O138</f>
        <v>stale</v>
      </c>
      <c r="I138" s="22" t="str">
        <f>'Derived 5Y Spreads'!A138</f>
        <v>screenshot-reference-20260824-v1</v>
      </c>
      <c r="J138" s="22" t="str">
        <f>'Derived 5Y Spreads'!D138</f>
        <v>SCREENSHOT.ALPHINC.5Y</v>
      </c>
      <c r="K138" s="5"/>
    </row>
    <row r="139" spans="1:11" x14ac:dyDescent="0.25">
      <c r="A139" s="7">
        <v>46211</v>
      </c>
      <c r="B139" s="6" t="s">
        <v>26</v>
      </c>
      <c r="C139" s="23">
        <f>'Derived 5Y Spreads'!G139</f>
        <v>43</v>
      </c>
      <c r="D139" s="24">
        <f>C139-'Derived 5Y Spreads'!G132</f>
        <v>1</v>
      </c>
      <c r="E139" s="24">
        <f>C139-'Derived 5Y Spreads'!G104</f>
        <v>1.2899999999999991</v>
      </c>
      <c r="F139" s="24" t="str">
        <f>IFERROR(NA(),"")</f>
        <v/>
      </c>
      <c r="G139" s="25">
        <f>'Derived 5Y Spreads'!E139</f>
      </c>
      <c r="H139" s="21" t="str">
        <f>'Derived 5Y Spreads'!O139</f>
        <v>stale</v>
      </c>
      <c r="I139" s="26" t="str">
        <f>'Derived 5Y Spreads'!A139</f>
        <v>screenshot-reference-20260824-v1</v>
      </c>
      <c r="J139" s="26" t="str">
        <f>'Derived 5Y Spreads'!D139</f>
        <v>SCREENSHOT.MSFT.5Y</v>
      </c>
      <c r="K139" s="9"/>
    </row>
    <row r="140" spans="1:11" x14ac:dyDescent="0.25">
      <c r="A140" s="3">
        <v>46211</v>
      </c>
      <c r="B140" s="2" t="s">
        <v>29</v>
      </c>
      <c r="C140" s="18">
        <f>'Derived 5Y Spreads'!G140</f>
        <v>71.86</v>
      </c>
      <c r="D140" s="19">
        <f>C140-'Derived 5Y Spreads'!G133</f>
        <v>1.4299999999999926</v>
      </c>
      <c r="E140" s="19">
        <f>C140-'Derived 5Y Spreads'!G105</f>
        <v>3.480000000000004</v>
      </c>
      <c r="F140" s="19" t="str">
        <f>IFERROR(NA(),"")</f>
        <v/>
      </c>
      <c r="G140" s="20">
        <f>'Derived 5Y Spreads'!E140</f>
      </c>
      <c r="H140" s="21" t="str">
        <f>'Derived 5Y Spreads'!O140</f>
        <v>stale</v>
      </c>
      <c r="I140" s="22" t="str">
        <f>'Derived 5Y Spreads'!A140</f>
        <v>screenshot-reference-20260824-v1</v>
      </c>
      <c r="J140" s="22" t="str">
        <f>'Derived 5Y Spreads'!D140</f>
        <v>SCREENSHOT.METAPL.5Y</v>
      </c>
      <c r="K140" s="5"/>
    </row>
    <row r="141" spans="1:11" x14ac:dyDescent="0.25">
      <c r="A141" s="7">
        <v>46212</v>
      </c>
      <c r="B141" s="6" t="s">
        <v>9</v>
      </c>
      <c r="C141" s="23">
        <f>'Derived 5Y Spreads'!G141</f>
        <v>176.71</v>
      </c>
      <c r="D141" s="24">
        <f>C141-'Derived 5Y Spreads'!G134</f>
        <v>2.5700000000000216</v>
      </c>
      <c r="E141" s="24">
        <f>C141-'Derived 5Y Spreads'!G106</f>
        <v>6.570000000000022</v>
      </c>
      <c r="F141" s="24" t="str">
        <f>IFERROR(NA(),"")</f>
        <v/>
      </c>
      <c r="G141" s="25">
        <f>'Derived 5Y Spreads'!E141</f>
      </c>
      <c r="H141" s="21" t="str">
        <f>'Derived 5Y Spreads'!O141</f>
        <v>stale</v>
      </c>
      <c r="I141" s="26" t="str">
        <f>'Derived 5Y Spreads'!A141</f>
        <v>screenshot-reference-20260824-v1</v>
      </c>
      <c r="J141" s="26" t="str">
        <f>'Derived 5Y Spreads'!D141</f>
        <v>SCREENSHOT.ORCLE.5Y</v>
      </c>
      <c r="K141" s="9"/>
    </row>
    <row r="142" spans="1:11" x14ac:dyDescent="0.25">
      <c r="A142" s="3">
        <v>46212</v>
      </c>
      <c r="B142" s="2" t="s">
        <v>14</v>
      </c>
      <c r="C142" s="18">
        <f>'Derived 5Y Spreads'!G142</f>
        <v>587.5</v>
      </c>
      <c r="D142" s="19">
        <f>C142-'Derived 5Y Spreads'!G135</f>
        <v>-12.5</v>
      </c>
      <c r="E142" s="19">
        <f>C142-'Derived 5Y Spreads'!G107</f>
        <v>2.5</v>
      </c>
      <c r="F142" s="19" t="str">
        <f>IFERROR(NA(),"")</f>
        <v/>
      </c>
      <c r="G142" s="20">
        <f>'Derived 5Y Spreads'!E142</f>
      </c>
      <c r="H142" s="21" t="str">
        <f>'Derived 5Y Spreads'!O142</f>
        <v>stale</v>
      </c>
      <c r="I142" s="22" t="str">
        <f>'Derived 5Y Spreads'!A142</f>
        <v>screenshot-reference-20260824-v1</v>
      </c>
      <c r="J142" s="22" t="str">
        <f>'Derived 5Y Spreads'!D142</f>
        <v>SCREENSHOT.COREWEI.5Y</v>
      </c>
      <c r="K142" s="5"/>
    </row>
    <row r="143" spans="1:11" x14ac:dyDescent="0.25">
      <c r="A143" s="7">
        <v>46212</v>
      </c>
      <c r="B143" s="6" t="s">
        <v>17</v>
      </c>
      <c r="C143" s="23">
        <f>'Derived 5Y Spreads'!G143</f>
        <v>47</v>
      </c>
      <c r="D143" s="24">
        <f>C143-'Derived 5Y Spreads'!G136</f>
        <v>2</v>
      </c>
      <c r="E143" s="24">
        <f>C143-'Derived 5Y Spreads'!G108</f>
        <v>1.3299999999999983</v>
      </c>
      <c r="F143" s="24" t="str">
        <f>IFERROR(NA(),"")</f>
        <v/>
      </c>
      <c r="G143" s="25">
        <f>'Derived 5Y Spreads'!E143</f>
      </c>
      <c r="H143" s="21" t="str">
        <f>'Derived 5Y Spreads'!O143</f>
        <v>stale</v>
      </c>
      <c r="I143" s="26" t="str">
        <f>'Derived 5Y Spreads'!A143</f>
        <v>screenshot-reference-20260824-v1</v>
      </c>
      <c r="J143" s="26" t="str">
        <f>'Derived 5Y Spreads'!D143</f>
        <v>SCREENSHOT.NVIDIA.5Y</v>
      </c>
      <c r="K143" s="9"/>
    </row>
    <row r="144" spans="1:11" x14ac:dyDescent="0.25">
      <c r="A144" s="3">
        <v>46212</v>
      </c>
      <c r="B144" s="2" t="s">
        <v>20</v>
      </c>
      <c r="C144" s="18">
        <f>'Derived 5Y Spreads'!G144</f>
        <v>56</v>
      </c>
      <c r="D144" s="19">
        <f>C144-'Derived 5Y Spreads'!G137</f>
        <v>1</v>
      </c>
      <c r="E144" s="19">
        <f>C144-'Derived 5Y Spreads'!G109</f>
        <v>1</v>
      </c>
      <c r="F144" s="19" t="str">
        <f>IFERROR(NA(),"")</f>
        <v/>
      </c>
      <c r="G144" s="20">
        <f>'Derived 5Y Spreads'!E144</f>
      </c>
      <c r="H144" s="21" t="str">
        <f>'Derived 5Y Spreads'!O144</f>
        <v>stale</v>
      </c>
      <c r="I144" s="22" t="str">
        <f>'Derived 5Y Spreads'!A144</f>
        <v>screenshot-reference-20260824-v1</v>
      </c>
      <c r="J144" s="22" t="str">
        <f>'Derived 5Y Spreads'!D144</f>
        <v>SCREENSHOT.AMZN.5Y</v>
      </c>
      <c r="K144" s="5"/>
    </row>
    <row r="145" spans="1:11" x14ac:dyDescent="0.25">
      <c r="A145" s="7">
        <v>46212</v>
      </c>
      <c r="B145" s="6" t="s">
        <v>23</v>
      </c>
      <c r="C145" s="23">
        <f>'Derived 5Y Spreads'!G145</f>
        <v>56</v>
      </c>
      <c r="D145" s="24">
        <f>C145-'Derived 5Y Spreads'!G138</f>
        <v>1</v>
      </c>
      <c r="E145" s="24">
        <f>C145-'Derived 5Y Spreads'!G110</f>
        <v>2.200000000000003</v>
      </c>
      <c r="F145" s="24" t="str">
        <f>IFERROR(NA(),"")</f>
        <v/>
      </c>
      <c r="G145" s="25">
        <f>'Derived 5Y Spreads'!E145</f>
      </c>
      <c r="H145" s="21" t="str">
        <f>'Derived 5Y Spreads'!O145</f>
        <v>stale</v>
      </c>
      <c r="I145" s="26" t="str">
        <f>'Derived 5Y Spreads'!A145</f>
        <v>screenshot-reference-20260824-v1</v>
      </c>
      <c r="J145" s="26" t="str">
        <f>'Derived 5Y Spreads'!D145</f>
        <v>SCREENSHOT.ALPHINC.5Y</v>
      </c>
      <c r="K145" s="9"/>
    </row>
    <row r="146" spans="1:11" x14ac:dyDescent="0.25">
      <c r="A146" s="3">
        <v>46212</v>
      </c>
      <c r="B146" s="2" t="s">
        <v>26</v>
      </c>
      <c r="C146" s="18">
        <f>'Derived 5Y Spreads'!G146</f>
        <v>44</v>
      </c>
      <c r="D146" s="19">
        <f>C146-'Derived 5Y Spreads'!G139</f>
        <v>1</v>
      </c>
      <c r="E146" s="19">
        <f>C146-'Derived 5Y Spreads'!G111</f>
        <v>2.4299999999999997</v>
      </c>
      <c r="F146" s="19" t="str">
        <f>IFERROR(NA(),"")</f>
        <v/>
      </c>
      <c r="G146" s="20">
        <f>'Derived 5Y Spreads'!E146</f>
      </c>
      <c r="H146" s="21" t="str">
        <f>'Derived 5Y Spreads'!O146</f>
        <v>stale</v>
      </c>
      <c r="I146" s="22" t="str">
        <f>'Derived 5Y Spreads'!A146</f>
        <v>screenshot-reference-20260824-v1</v>
      </c>
      <c r="J146" s="22" t="str">
        <f>'Derived 5Y Spreads'!D146</f>
        <v>SCREENSHOT.MSFT.5Y</v>
      </c>
      <c r="K146" s="5"/>
    </row>
    <row r="147" spans="1:11" x14ac:dyDescent="0.25">
      <c r="A147" s="7">
        <v>46212</v>
      </c>
      <c r="B147" s="6" t="s">
        <v>29</v>
      </c>
      <c r="C147" s="23">
        <f>'Derived 5Y Spreads'!G147</f>
        <v>73.29</v>
      </c>
      <c r="D147" s="24">
        <f>C147-'Derived 5Y Spreads'!G140</f>
        <v>1.4300000000000068</v>
      </c>
      <c r="E147" s="24">
        <f>C147-'Derived 5Y Spreads'!G112</f>
        <v>5.290000000000006</v>
      </c>
      <c r="F147" s="24" t="str">
        <f>IFERROR(NA(),"")</f>
        <v/>
      </c>
      <c r="G147" s="25">
        <f>'Derived 5Y Spreads'!E147</f>
      </c>
      <c r="H147" s="21" t="str">
        <f>'Derived 5Y Spreads'!O147</f>
        <v>stale</v>
      </c>
      <c r="I147" s="26" t="str">
        <f>'Derived 5Y Spreads'!A147</f>
        <v>screenshot-reference-20260824-v1</v>
      </c>
      <c r="J147" s="26" t="str">
        <f>'Derived 5Y Spreads'!D147</f>
        <v>SCREENSHOT.METAPL.5Y</v>
      </c>
      <c r="K147" s="9"/>
    </row>
    <row r="148" spans="1:11" x14ac:dyDescent="0.25">
      <c r="A148" s="3">
        <v>46213</v>
      </c>
      <c r="B148" s="2" t="s">
        <v>9</v>
      </c>
      <c r="C148" s="18">
        <f>'Derived 5Y Spreads'!G148</f>
        <v>179.29</v>
      </c>
      <c r="D148" s="19">
        <f>C148-'Derived 5Y Spreads'!G141</f>
        <v>2.579999999999984</v>
      </c>
      <c r="E148" s="19">
        <f>C148-'Derived 5Y Spreads'!G113</f>
        <v>9.429999999999978</v>
      </c>
      <c r="F148" s="19">
        <f>C148-'Derived 5Y Spreads'!G2</f>
        <v>19.289999999999992</v>
      </c>
      <c r="G148" s="20">
        <f>'Derived 5Y Spreads'!E148</f>
      </c>
      <c r="H148" s="21" t="str">
        <f>'Derived 5Y Spreads'!O148</f>
        <v>stale</v>
      </c>
      <c r="I148" s="22" t="str">
        <f>'Derived 5Y Spreads'!A148</f>
        <v>screenshot-reference-20260824-v1</v>
      </c>
      <c r="J148" s="22" t="str">
        <f>'Derived 5Y Spreads'!D148</f>
        <v>SCREENSHOT.ORCLE.5Y</v>
      </c>
      <c r="K148" s="5"/>
    </row>
    <row r="149" spans="1:11" x14ac:dyDescent="0.25">
      <c r="A149" s="7">
        <v>46213</v>
      </c>
      <c r="B149" s="6" t="s">
        <v>14</v>
      </c>
      <c r="C149" s="23">
        <f>'Derived 5Y Spreads'!G149</f>
        <v>575</v>
      </c>
      <c r="D149" s="24">
        <f>C149-'Derived 5Y Spreads'!G142</f>
        <v>-12.5</v>
      </c>
      <c r="E149" s="24">
        <f>C149-'Derived 5Y Spreads'!G114</f>
        <v>-12.5</v>
      </c>
      <c r="F149" s="24">
        <f>C149-'Derived 5Y Spreads'!G3</f>
        <v>65</v>
      </c>
      <c r="G149" s="25">
        <f>'Derived 5Y Spreads'!E149</f>
      </c>
      <c r="H149" s="21" t="str">
        <f>'Derived 5Y Spreads'!O149</f>
        <v>stale</v>
      </c>
      <c r="I149" s="26" t="str">
        <f>'Derived 5Y Spreads'!A149</f>
        <v>screenshot-reference-20260824-v1</v>
      </c>
      <c r="J149" s="26" t="str">
        <f>'Derived 5Y Spreads'!D149</f>
        <v>SCREENSHOT.COREWEI.5Y</v>
      </c>
      <c r="K149" s="9"/>
    </row>
    <row r="150" spans="1:11" x14ac:dyDescent="0.25">
      <c r="A150" s="3">
        <v>46213</v>
      </c>
      <c r="B150" s="2" t="s">
        <v>17</v>
      </c>
      <c r="C150" s="18">
        <f>'Derived 5Y Spreads'!G150</f>
        <v>49</v>
      </c>
      <c r="D150" s="19">
        <f>C150-'Derived 5Y Spreads'!G143</f>
        <v>2</v>
      </c>
      <c r="E150" s="19">
        <f>C150-'Derived 5Y Spreads'!G115</f>
        <v>3.4399999999999977</v>
      </c>
      <c r="F150" s="19" t="str">
        <f>IFERROR(NA(),"")</f>
        <v/>
      </c>
      <c r="G150" s="20">
        <f>'Derived 5Y Spreads'!E150</f>
      </c>
      <c r="H150" s="21" t="str">
        <f>'Derived 5Y Spreads'!O150</f>
        <v>stale</v>
      </c>
      <c r="I150" s="22" t="str">
        <f>'Derived 5Y Spreads'!A150</f>
        <v>screenshot-reference-20260824-v1</v>
      </c>
      <c r="J150" s="22" t="str">
        <f>'Derived 5Y Spreads'!D150</f>
        <v>SCREENSHOT.NVIDIA.5Y</v>
      </c>
      <c r="K150" s="5"/>
    </row>
    <row r="151" spans="1:11" x14ac:dyDescent="0.25">
      <c r="A151" s="7">
        <v>46213</v>
      </c>
      <c r="B151" s="6" t="s">
        <v>20</v>
      </c>
      <c r="C151" s="23">
        <f>'Derived 5Y Spreads'!G151</f>
        <v>57</v>
      </c>
      <c r="D151" s="24">
        <f>C151-'Derived 5Y Spreads'!G144</f>
        <v>1</v>
      </c>
      <c r="E151" s="24">
        <f>C151-'Derived 5Y Spreads'!G116</f>
        <v>2.5</v>
      </c>
      <c r="F151" s="24">
        <f>C151-'Derived 5Y Spreads'!G4</f>
        <v>6</v>
      </c>
      <c r="G151" s="25">
        <f>'Derived 5Y Spreads'!E151</f>
      </c>
      <c r="H151" s="21" t="str">
        <f>'Derived 5Y Spreads'!O151</f>
        <v>stale</v>
      </c>
      <c r="I151" s="26" t="str">
        <f>'Derived 5Y Spreads'!A151</f>
        <v>screenshot-reference-20260824-v1</v>
      </c>
      <c r="J151" s="26" t="str">
        <f>'Derived 5Y Spreads'!D151</f>
        <v>SCREENSHOT.AMZN.5Y</v>
      </c>
      <c r="K151" s="9"/>
    </row>
    <row r="152" spans="1:11" x14ac:dyDescent="0.25">
      <c r="A152" s="3">
        <v>46213</v>
      </c>
      <c r="B152" s="2" t="s">
        <v>23</v>
      </c>
      <c r="C152" s="18">
        <f>'Derived 5Y Spreads'!G152</f>
        <v>57</v>
      </c>
      <c r="D152" s="19">
        <f>C152-'Derived 5Y Spreads'!G145</f>
        <v>1</v>
      </c>
      <c r="E152" s="19">
        <f>C152-'Derived 5Y Spreads'!G117</f>
        <v>3.3999999999999986</v>
      </c>
      <c r="F152" s="19">
        <f>C152-'Derived 5Y Spreads'!G5</f>
        <v>7</v>
      </c>
      <c r="G152" s="20">
        <f>'Derived 5Y Spreads'!E152</f>
      </c>
      <c r="H152" s="21" t="str">
        <f>'Derived 5Y Spreads'!O152</f>
        <v>stale</v>
      </c>
      <c r="I152" s="22" t="str">
        <f>'Derived 5Y Spreads'!A152</f>
        <v>screenshot-reference-20260824-v1</v>
      </c>
      <c r="J152" s="22" t="str">
        <f>'Derived 5Y Spreads'!D152</f>
        <v>SCREENSHOT.ALPHINC.5Y</v>
      </c>
      <c r="K152" s="5"/>
    </row>
    <row r="153" spans="1:11" x14ac:dyDescent="0.25">
      <c r="A153" s="7">
        <v>46213</v>
      </c>
      <c r="B153" s="6" t="s">
        <v>26</v>
      </c>
      <c r="C153" s="23">
        <f>'Derived 5Y Spreads'!G153</f>
        <v>45</v>
      </c>
      <c r="D153" s="24">
        <f>C153-'Derived 5Y Spreads'!G146</f>
        <v>1</v>
      </c>
      <c r="E153" s="24">
        <f>C153-'Derived 5Y Spreads'!G118</f>
        <v>3.5700000000000003</v>
      </c>
      <c r="F153" s="24">
        <f>C153-'Derived 5Y Spreads'!G6</f>
        <v>6</v>
      </c>
      <c r="G153" s="25">
        <f>'Derived 5Y Spreads'!E153</f>
      </c>
      <c r="H153" s="21" t="str">
        <f>'Derived 5Y Spreads'!O153</f>
        <v>stale</v>
      </c>
      <c r="I153" s="26" t="str">
        <f>'Derived 5Y Spreads'!A153</f>
        <v>screenshot-reference-20260824-v1</v>
      </c>
      <c r="J153" s="26" t="str">
        <f>'Derived 5Y Spreads'!D153</f>
        <v>SCREENSHOT.MSFT.5Y</v>
      </c>
      <c r="K153" s="9"/>
    </row>
    <row r="154" spans="1:11" x14ac:dyDescent="0.25">
      <c r="A154" s="3">
        <v>46213</v>
      </c>
      <c r="B154" s="2" t="s">
        <v>29</v>
      </c>
      <c r="C154" s="18">
        <f>'Derived 5Y Spreads'!G154</f>
        <v>74.71</v>
      </c>
      <c r="D154" s="19">
        <f>C154-'Derived 5Y Spreads'!G147</f>
        <v>1.4199999999999875</v>
      </c>
      <c r="E154" s="19">
        <f>C154-'Derived 5Y Spreads'!G119</f>
        <v>6.459999999999994</v>
      </c>
      <c r="F154" s="19">
        <f>C154-'Derived 5Y Spreads'!G7</f>
        <v>3.7099999999999937</v>
      </c>
      <c r="G154" s="20">
        <f>'Derived 5Y Spreads'!E154</f>
      </c>
      <c r="H154" s="21" t="str">
        <f>'Derived 5Y Spreads'!O154</f>
        <v>stale</v>
      </c>
      <c r="I154" s="22" t="str">
        <f>'Derived 5Y Spreads'!A154</f>
        <v>screenshot-reference-20260824-v1</v>
      </c>
      <c r="J154" s="22" t="str">
        <f>'Derived 5Y Spreads'!D154</f>
        <v>SCREENSHOT.METAPL.5Y</v>
      </c>
      <c r="K154" s="5"/>
    </row>
    <row r="155" spans="1:11" x14ac:dyDescent="0.25">
      <c r="A155" s="7">
        <v>46216</v>
      </c>
      <c r="B155" s="6" t="s">
        <v>9</v>
      </c>
      <c r="C155" s="23">
        <f>'Derived 5Y Spreads'!G155</f>
        <v>187</v>
      </c>
      <c r="D155" s="24">
        <f>C155-'Derived 5Y Spreads'!G148</f>
        <v>7.710000000000008</v>
      </c>
      <c r="E155" s="24">
        <f>C155-'Derived 5Y Spreads'!G120</f>
        <v>18</v>
      </c>
      <c r="F155" s="24">
        <f>C155-'Derived 5Y Spreads'!G14</f>
        <v>29.400000000000006</v>
      </c>
      <c r="G155" s="25">
        <f>'Derived 5Y Spreads'!E155</f>
      </c>
      <c r="H155" s="21" t="str">
        <f>'Derived 5Y Spreads'!O155</f>
        <v>stale</v>
      </c>
      <c r="I155" s="26" t="str">
        <f>'Derived 5Y Spreads'!A155</f>
        <v>screenshot-reference-20260824-v1</v>
      </c>
      <c r="J155" s="26" t="str">
        <f>'Derived 5Y Spreads'!D155</f>
        <v>SCREENSHOT.ORCLE.5Y</v>
      </c>
      <c r="K155" s="9"/>
    </row>
    <row r="156" spans="1:11" x14ac:dyDescent="0.25">
      <c r="A156" s="3">
        <v>46216</v>
      </c>
      <c r="B156" s="2" t="s">
        <v>14</v>
      </c>
      <c r="C156" s="18">
        <f>'Derived 5Y Spreads'!G156</f>
        <v>620</v>
      </c>
      <c r="D156" s="19">
        <f>C156-'Derived 5Y Spreads'!G149</f>
        <v>45</v>
      </c>
      <c r="E156" s="19">
        <f>C156-'Derived 5Y Spreads'!G121</f>
        <v>25</v>
      </c>
      <c r="F156" s="19">
        <f>C156-'Derived 5Y Spreads'!G15</f>
        <v>118.57</v>
      </c>
      <c r="G156" s="20">
        <f>'Derived 5Y Spreads'!E156</f>
      </c>
      <c r="H156" s="21" t="str">
        <f>'Derived 5Y Spreads'!O156</f>
        <v>stale</v>
      </c>
      <c r="I156" s="22" t="str">
        <f>'Derived 5Y Spreads'!A156</f>
        <v>screenshot-reference-20260824-v1</v>
      </c>
      <c r="J156" s="22" t="str">
        <f>'Derived 5Y Spreads'!D156</f>
        <v>SCREENSHOT.COREWEI.5Y</v>
      </c>
      <c r="K156" s="5"/>
    </row>
    <row r="157" spans="1:11" x14ac:dyDescent="0.25">
      <c r="A157" s="7">
        <v>46216</v>
      </c>
      <c r="B157" s="6" t="s">
        <v>17</v>
      </c>
      <c r="C157" s="23">
        <f>'Derived 5Y Spreads'!G157</f>
        <v>55</v>
      </c>
      <c r="D157" s="24">
        <f>C157-'Derived 5Y Spreads'!G150</f>
        <v>6</v>
      </c>
      <c r="E157" s="24">
        <f>C157-'Derived 5Y Spreads'!G122</f>
        <v>9.780000000000001</v>
      </c>
      <c r="F157" s="24" t="str">
        <f>IFERROR(NA(),"")</f>
        <v/>
      </c>
      <c r="G157" s="25">
        <f>'Derived 5Y Spreads'!E157</f>
      </c>
      <c r="H157" s="21" t="str">
        <f>'Derived 5Y Spreads'!O157</f>
        <v>stale</v>
      </c>
      <c r="I157" s="26" t="str">
        <f>'Derived 5Y Spreads'!A157</f>
        <v>screenshot-reference-20260824-v1</v>
      </c>
      <c r="J157" s="26" t="str">
        <f>'Derived 5Y Spreads'!D157</f>
        <v>SCREENSHOT.NVIDIA.5Y</v>
      </c>
      <c r="K157" s="9"/>
    </row>
    <row r="158" spans="1:11" x14ac:dyDescent="0.25">
      <c r="A158" s="3">
        <v>46216</v>
      </c>
      <c r="B158" s="2" t="s">
        <v>20</v>
      </c>
      <c r="C158" s="18">
        <f>'Derived 5Y Spreads'!G158</f>
        <v>60</v>
      </c>
      <c r="D158" s="19">
        <f>C158-'Derived 5Y Spreads'!G151</f>
        <v>3</v>
      </c>
      <c r="E158" s="19">
        <f>C158-'Derived 5Y Spreads'!G123</f>
        <v>7</v>
      </c>
      <c r="F158" s="19">
        <f>C158-'Derived 5Y Spreads'!G16</f>
        <v>9.29</v>
      </c>
      <c r="G158" s="20">
        <f>'Derived 5Y Spreads'!E158</f>
      </c>
      <c r="H158" s="21" t="str">
        <f>'Derived 5Y Spreads'!O158</f>
        <v>stale</v>
      </c>
      <c r="I158" s="22" t="str">
        <f>'Derived 5Y Spreads'!A158</f>
        <v>screenshot-reference-20260824-v1</v>
      </c>
      <c r="J158" s="22" t="str">
        <f>'Derived 5Y Spreads'!D158</f>
        <v>SCREENSHOT.AMZN.5Y</v>
      </c>
      <c r="K158" s="5"/>
    </row>
    <row r="159" spans="1:11" x14ac:dyDescent="0.25">
      <c r="A159" s="7">
        <v>46216</v>
      </c>
      <c r="B159" s="6" t="s">
        <v>23</v>
      </c>
      <c r="C159" s="23">
        <f>'Derived 5Y Spreads'!G159</f>
        <v>60</v>
      </c>
      <c r="D159" s="24">
        <f>C159-'Derived 5Y Spreads'!G152</f>
        <v>3</v>
      </c>
      <c r="E159" s="24">
        <f>C159-'Derived 5Y Spreads'!G124</f>
        <v>7</v>
      </c>
      <c r="F159" s="24">
        <f>C159-'Derived 5Y Spreads'!G17</f>
        <v>10.29</v>
      </c>
      <c r="G159" s="25">
        <f>'Derived 5Y Spreads'!E159</f>
      </c>
      <c r="H159" s="21" t="str">
        <f>'Derived 5Y Spreads'!O159</f>
        <v>stale</v>
      </c>
      <c r="I159" s="26" t="str">
        <f>'Derived 5Y Spreads'!A159</f>
        <v>screenshot-reference-20260824-v1</v>
      </c>
      <c r="J159" s="26" t="str">
        <f>'Derived 5Y Spreads'!D159</f>
        <v>SCREENSHOT.ALPHINC.5Y</v>
      </c>
      <c r="K159" s="9"/>
    </row>
    <row r="160" spans="1:11" x14ac:dyDescent="0.25">
      <c r="A160" s="3">
        <v>46216</v>
      </c>
      <c r="B160" s="2" t="s">
        <v>26</v>
      </c>
      <c r="C160" s="18">
        <f>'Derived 5Y Spreads'!G160</f>
        <v>48</v>
      </c>
      <c r="D160" s="19">
        <f>C160-'Derived 5Y Spreads'!G153</f>
        <v>3</v>
      </c>
      <c r="E160" s="19">
        <f>C160-'Derived 5Y Spreads'!G125</f>
        <v>7</v>
      </c>
      <c r="F160" s="19">
        <f>C160-'Derived 5Y Spreads'!G18</f>
        <v>9.29</v>
      </c>
      <c r="G160" s="20">
        <f>'Derived 5Y Spreads'!E160</f>
      </c>
      <c r="H160" s="21" t="str">
        <f>'Derived 5Y Spreads'!O160</f>
        <v>stale</v>
      </c>
      <c r="I160" s="22" t="str">
        <f>'Derived 5Y Spreads'!A160</f>
        <v>screenshot-reference-20260824-v1</v>
      </c>
      <c r="J160" s="22" t="str">
        <f>'Derived 5Y Spreads'!D160</f>
        <v>SCREENSHOT.MSFT.5Y</v>
      </c>
      <c r="K160" s="5"/>
    </row>
    <row r="161" spans="1:11" x14ac:dyDescent="0.25">
      <c r="A161" s="7">
        <v>46216</v>
      </c>
      <c r="B161" s="6" t="s">
        <v>29</v>
      </c>
      <c r="C161" s="23">
        <f>'Derived 5Y Spreads'!G161</f>
        <v>79</v>
      </c>
      <c r="D161" s="24">
        <f>C161-'Derived 5Y Spreads'!G154</f>
        <v>4.290000000000006</v>
      </c>
      <c r="E161" s="24">
        <f>C161-'Derived 5Y Spreads'!G126</f>
        <v>10</v>
      </c>
      <c r="F161" s="24">
        <f>C161-'Derived 5Y Spreads'!G19</f>
        <v>8.569999999999993</v>
      </c>
      <c r="G161" s="25">
        <f>'Derived 5Y Spreads'!E161</f>
      </c>
      <c r="H161" s="21" t="str">
        <f>'Derived 5Y Spreads'!O161</f>
        <v>stale</v>
      </c>
      <c r="I161" s="26" t="str">
        <f>'Derived 5Y Spreads'!A161</f>
        <v>screenshot-reference-20260824-v1</v>
      </c>
      <c r="J161" s="26" t="str">
        <f>'Derived 5Y Spreads'!D161</f>
        <v>SCREENSHOT.METAPL.5Y</v>
      </c>
      <c r="K161" s="9"/>
    </row>
    <row r="162" spans="1:11" x14ac:dyDescent="0.25">
      <c r="A162" s="3">
        <v>46217</v>
      </c>
      <c r="B162" s="2" t="s">
        <v>9</v>
      </c>
      <c r="C162" s="18">
        <f>'Derived 5Y Spreads'!G162</f>
        <v>187.14</v>
      </c>
      <c r="D162" s="19">
        <f>C162-'Derived 5Y Spreads'!G155</f>
        <v>0.13999999999998636</v>
      </c>
      <c r="E162" s="19">
        <f>C162-'Derived 5Y Spreads'!G127</f>
        <v>15.569999999999993</v>
      </c>
      <c r="F162" s="19">
        <f>C162-'Derived 5Y Spreads'!G14</f>
        <v>29.539999999999992</v>
      </c>
      <c r="G162" s="20">
        <f>'Derived 5Y Spreads'!E162</f>
      </c>
      <c r="H162" s="21" t="str">
        <f>'Derived 5Y Spreads'!O162</f>
        <v>stale</v>
      </c>
      <c r="I162" s="22" t="str">
        <f>'Derived 5Y Spreads'!A162</f>
        <v>screenshot-reference-20260824-v1</v>
      </c>
      <c r="J162" s="22" t="str">
        <f>'Derived 5Y Spreads'!D162</f>
        <v>SCREENSHOT.ORCLE.5Y</v>
      </c>
      <c r="K162" s="5"/>
    </row>
    <row r="163" spans="1:11" x14ac:dyDescent="0.25">
      <c r="A163" s="7">
        <v>46217</v>
      </c>
      <c r="B163" s="6" t="s">
        <v>14</v>
      </c>
      <c r="C163" s="23">
        <f>'Derived 5Y Spreads'!G163</f>
        <v>635</v>
      </c>
      <c r="D163" s="24">
        <f>C163-'Derived 5Y Spreads'!G156</f>
        <v>15</v>
      </c>
      <c r="E163" s="24">
        <f>C163-'Derived 5Y Spreads'!G128</f>
        <v>37.5</v>
      </c>
      <c r="F163" s="24">
        <f>C163-'Derived 5Y Spreads'!G15</f>
        <v>133.57</v>
      </c>
      <c r="G163" s="25">
        <f>'Derived 5Y Spreads'!E163</f>
      </c>
      <c r="H163" s="21" t="str">
        <f>'Derived 5Y Spreads'!O163</f>
        <v>stale</v>
      </c>
      <c r="I163" s="26" t="str">
        <f>'Derived 5Y Spreads'!A163</f>
        <v>screenshot-reference-20260824-v1</v>
      </c>
      <c r="J163" s="26" t="str">
        <f>'Derived 5Y Spreads'!D163</f>
        <v>SCREENSHOT.COREWEI.5Y</v>
      </c>
      <c r="K163" s="9"/>
    </row>
    <row r="164" spans="1:11" x14ac:dyDescent="0.25">
      <c r="A164" s="3">
        <v>46217</v>
      </c>
      <c r="B164" s="2" t="s">
        <v>17</v>
      </c>
      <c r="C164" s="18">
        <f>'Derived 5Y Spreads'!G164</f>
        <v>57</v>
      </c>
      <c r="D164" s="19">
        <f>C164-'Derived 5Y Spreads'!G157</f>
        <v>2</v>
      </c>
      <c r="E164" s="19">
        <f>C164-'Derived 5Y Spreads'!G129</f>
        <v>11.89</v>
      </c>
      <c r="F164" s="19" t="str">
        <f>IFERROR(NA(),"")</f>
        <v/>
      </c>
      <c r="G164" s="20">
        <f>'Derived 5Y Spreads'!E164</f>
      </c>
      <c r="H164" s="21" t="str">
        <f>'Derived 5Y Spreads'!O164</f>
        <v>stale</v>
      </c>
      <c r="I164" s="22" t="str">
        <f>'Derived 5Y Spreads'!A164</f>
        <v>screenshot-reference-20260824-v1</v>
      </c>
      <c r="J164" s="22" t="str">
        <f>'Derived 5Y Spreads'!D164</f>
        <v>SCREENSHOT.NVIDIA.5Y</v>
      </c>
      <c r="K164" s="5"/>
    </row>
    <row r="165" spans="1:11" x14ac:dyDescent="0.25">
      <c r="A165" s="7">
        <v>46217</v>
      </c>
      <c r="B165" s="6" t="s">
        <v>20</v>
      </c>
      <c r="C165" s="23">
        <f>'Derived 5Y Spreads'!G165</f>
        <v>59.25</v>
      </c>
      <c r="D165" s="24">
        <f>C165-'Derived 5Y Spreads'!G158</f>
        <v>-0.75</v>
      </c>
      <c r="E165" s="24">
        <f>C165-'Derived 5Y Spreads'!G130</f>
        <v>5.25</v>
      </c>
      <c r="F165" s="24">
        <f>C165-'Derived 5Y Spreads'!G16</f>
        <v>8.54</v>
      </c>
      <c r="G165" s="25">
        <f>'Derived 5Y Spreads'!E165</f>
      </c>
      <c r="H165" s="21" t="str">
        <f>'Derived 5Y Spreads'!O165</f>
        <v>stale</v>
      </c>
      <c r="I165" s="26" t="str">
        <f>'Derived 5Y Spreads'!A165</f>
        <v>screenshot-reference-20260824-v1</v>
      </c>
      <c r="J165" s="26" t="str">
        <f>'Derived 5Y Spreads'!D165</f>
        <v>SCREENSHOT.AMZN.5Y</v>
      </c>
      <c r="K165" s="9"/>
    </row>
    <row r="166" spans="1:11" x14ac:dyDescent="0.25">
      <c r="A166" s="3">
        <v>46217</v>
      </c>
      <c r="B166" s="2" t="s">
        <v>23</v>
      </c>
      <c r="C166" s="18">
        <f>'Derived 5Y Spreads'!G166</f>
        <v>59.25</v>
      </c>
      <c r="D166" s="19">
        <f>C166-'Derived 5Y Spreads'!G159</f>
        <v>-0.75</v>
      </c>
      <c r="E166" s="19">
        <f>C166-'Derived 5Y Spreads'!G131</f>
        <v>5.25</v>
      </c>
      <c r="F166" s="19">
        <f>C166-'Derived 5Y Spreads'!G17</f>
        <v>9.54</v>
      </c>
      <c r="G166" s="20">
        <f>'Derived 5Y Spreads'!E166</f>
      </c>
      <c r="H166" s="21" t="str">
        <f>'Derived 5Y Spreads'!O166</f>
        <v>stale</v>
      </c>
      <c r="I166" s="22" t="str">
        <f>'Derived 5Y Spreads'!A166</f>
        <v>screenshot-reference-20260824-v1</v>
      </c>
      <c r="J166" s="22" t="str">
        <f>'Derived 5Y Spreads'!D166</f>
        <v>SCREENSHOT.ALPHINC.5Y</v>
      </c>
      <c r="K166" s="5"/>
    </row>
    <row r="167" spans="1:11" x14ac:dyDescent="0.25">
      <c r="A167" s="7">
        <v>46217</v>
      </c>
      <c r="B167" s="6" t="s">
        <v>26</v>
      </c>
      <c r="C167" s="23">
        <f>'Derived 5Y Spreads'!G167</f>
        <v>47.75</v>
      </c>
      <c r="D167" s="24">
        <f>C167-'Derived 5Y Spreads'!G160</f>
        <v>-0.25</v>
      </c>
      <c r="E167" s="24">
        <f>C167-'Derived 5Y Spreads'!G132</f>
        <v>5.75</v>
      </c>
      <c r="F167" s="24">
        <f>C167-'Derived 5Y Spreads'!G18</f>
        <v>9.04</v>
      </c>
      <c r="G167" s="25">
        <f>'Derived 5Y Spreads'!E167</f>
      </c>
      <c r="H167" s="21" t="str">
        <f>'Derived 5Y Spreads'!O167</f>
        <v>stale</v>
      </c>
      <c r="I167" s="26" t="str">
        <f>'Derived 5Y Spreads'!A167</f>
        <v>screenshot-reference-20260824-v1</v>
      </c>
      <c r="J167" s="26" t="str">
        <f>'Derived 5Y Spreads'!D167</f>
        <v>SCREENSHOT.MSFT.5Y</v>
      </c>
      <c r="K167" s="9"/>
    </row>
    <row r="168" spans="1:11" x14ac:dyDescent="0.25">
      <c r="A168" s="3">
        <v>46217</v>
      </c>
      <c r="B168" s="2" t="s">
        <v>29</v>
      </c>
      <c r="C168" s="18">
        <f>'Derived 5Y Spreads'!G168</f>
        <v>78.25</v>
      </c>
      <c r="D168" s="19">
        <f>C168-'Derived 5Y Spreads'!G161</f>
        <v>-0.75</v>
      </c>
      <c r="E168" s="19">
        <f>C168-'Derived 5Y Spreads'!G133</f>
        <v>7.819999999999993</v>
      </c>
      <c r="F168" s="19">
        <f>C168-'Derived 5Y Spreads'!G19</f>
        <v>7.819999999999993</v>
      </c>
      <c r="G168" s="20">
        <f>'Derived 5Y Spreads'!E168</f>
      </c>
      <c r="H168" s="21" t="str">
        <f>'Derived 5Y Spreads'!O168</f>
        <v>stale</v>
      </c>
      <c r="I168" s="22" t="str">
        <f>'Derived 5Y Spreads'!A168</f>
        <v>screenshot-reference-20260824-v1</v>
      </c>
      <c r="J168" s="22" t="str">
        <f>'Derived 5Y Spreads'!D168</f>
        <v>SCREENSHOT.METAPL.5Y</v>
      </c>
      <c r="K168" s="5"/>
    </row>
    <row r="169" spans="1:11" x14ac:dyDescent="0.25">
      <c r="A169" s="7">
        <v>46218</v>
      </c>
      <c r="B169" s="6" t="s">
        <v>9</v>
      </c>
      <c r="C169" s="23">
        <f>'Derived 5Y Spreads'!G169</f>
        <v>187.29</v>
      </c>
      <c r="D169" s="24">
        <f>C169-'Derived 5Y Spreads'!G162</f>
        <v>0.15000000000000568</v>
      </c>
      <c r="E169" s="24">
        <f>C169-'Derived 5Y Spreads'!G134</f>
        <v>13.150000000000006</v>
      </c>
      <c r="F169" s="24">
        <f>C169-'Derived 5Y Spreads'!G20</f>
        <v>33.28999999999999</v>
      </c>
      <c r="G169" s="25">
        <f>'Derived 5Y Spreads'!E169</f>
      </c>
      <c r="H169" s="21" t="str">
        <f>'Derived 5Y Spreads'!O169</f>
        <v>stale</v>
      </c>
      <c r="I169" s="26" t="str">
        <f>'Derived 5Y Spreads'!A169</f>
        <v>screenshot-reference-20260824-v1</v>
      </c>
      <c r="J169" s="26" t="str">
        <f>'Derived 5Y Spreads'!D169</f>
        <v>SCREENSHOT.ORCLE.5Y</v>
      </c>
      <c r="K169" s="9"/>
    </row>
    <row r="170" spans="1:11" x14ac:dyDescent="0.25">
      <c r="A170" s="3">
        <v>46218</v>
      </c>
      <c r="B170" s="2" t="s">
        <v>14</v>
      </c>
      <c r="C170" s="18">
        <f>'Derived 5Y Spreads'!G170</f>
        <v>650</v>
      </c>
      <c r="D170" s="19">
        <f>C170-'Derived 5Y Spreads'!G163</f>
        <v>15</v>
      </c>
      <c r="E170" s="19">
        <f>C170-'Derived 5Y Spreads'!G135</f>
        <v>50</v>
      </c>
      <c r="F170" s="19">
        <f>C170-'Derived 5Y Spreads'!G21</f>
        <v>161.43</v>
      </c>
      <c r="G170" s="20">
        <f>'Derived 5Y Spreads'!E170</f>
      </c>
      <c r="H170" s="21" t="str">
        <f>'Derived 5Y Spreads'!O170</f>
        <v>stale</v>
      </c>
      <c r="I170" s="22" t="str">
        <f>'Derived 5Y Spreads'!A170</f>
        <v>screenshot-reference-20260824-v1</v>
      </c>
      <c r="J170" s="22" t="str">
        <f>'Derived 5Y Spreads'!D170</f>
        <v>SCREENSHOT.COREWEI.5Y</v>
      </c>
      <c r="K170" s="5"/>
    </row>
    <row r="171" spans="1:11" x14ac:dyDescent="0.25">
      <c r="A171" s="7">
        <v>46218</v>
      </c>
      <c r="B171" s="6" t="s">
        <v>17</v>
      </c>
      <c r="C171" s="23">
        <f>'Derived 5Y Spreads'!G171</f>
        <v>57.33</v>
      </c>
      <c r="D171" s="24">
        <f>C171-'Derived 5Y Spreads'!G164</f>
        <v>0.3299999999999983</v>
      </c>
      <c r="E171" s="24">
        <f>C171-'Derived 5Y Spreads'!G136</f>
        <v>12.329999999999998</v>
      </c>
      <c r="F171" s="24" t="str">
        <f>IFERROR(NA(),"")</f>
        <v/>
      </c>
      <c r="G171" s="25">
        <f>'Derived 5Y Spreads'!E171</f>
      </c>
      <c r="H171" s="21" t="str">
        <f>'Derived 5Y Spreads'!O171</f>
        <v>stale</v>
      </c>
      <c r="I171" s="26" t="str">
        <f>'Derived 5Y Spreads'!A171</f>
        <v>screenshot-reference-20260824-v1</v>
      </c>
      <c r="J171" s="26" t="str">
        <f>'Derived 5Y Spreads'!D171</f>
        <v>SCREENSHOT.NVIDIA.5Y</v>
      </c>
      <c r="K171" s="9"/>
    </row>
    <row r="172" spans="1:11" x14ac:dyDescent="0.25">
      <c r="A172" s="3">
        <v>46218</v>
      </c>
      <c r="B172" s="2" t="s">
        <v>20</v>
      </c>
      <c r="C172" s="18">
        <f>'Derived 5Y Spreads'!G172</f>
        <v>58.5</v>
      </c>
      <c r="D172" s="19">
        <f>C172-'Derived 5Y Spreads'!G165</f>
        <v>-0.75</v>
      </c>
      <c r="E172" s="19">
        <f>C172-'Derived 5Y Spreads'!G137</f>
        <v>3.5</v>
      </c>
      <c r="F172" s="19">
        <f>C172-'Derived 5Y Spreads'!G22</f>
        <v>8.21</v>
      </c>
      <c r="G172" s="20">
        <f>'Derived 5Y Spreads'!E172</f>
      </c>
      <c r="H172" s="21" t="str">
        <f>'Derived 5Y Spreads'!O172</f>
        <v>stale</v>
      </c>
      <c r="I172" s="22" t="str">
        <f>'Derived 5Y Spreads'!A172</f>
        <v>screenshot-reference-20260824-v1</v>
      </c>
      <c r="J172" s="22" t="str">
        <f>'Derived 5Y Spreads'!D172</f>
        <v>SCREENSHOT.AMZN.5Y</v>
      </c>
      <c r="K172" s="5"/>
    </row>
    <row r="173" spans="1:11" x14ac:dyDescent="0.25">
      <c r="A173" s="7">
        <v>46218</v>
      </c>
      <c r="B173" s="6" t="s">
        <v>23</v>
      </c>
      <c r="C173" s="23">
        <f>'Derived 5Y Spreads'!G173</f>
        <v>58.5</v>
      </c>
      <c r="D173" s="24">
        <f>C173-'Derived 5Y Spreads'!G166</f>
        <v>-0.75</v>
      </c>
      <c r="E173" s="24">
        <f>C173-'Derived 5Y Spreads'!G138</f>
        <v>3.5</v>
      </c>
      <c r="F173" s="24">
        <f>C173-'Derived 5Y Spreads'!G23</f>
        <v>9.21</v>
      </c>
      <c r="G173" s="25">
        <f>'Derived 5Y Spreads'!E173</f>
      </c>
      <c r="H173" s="21" t="str">
        <f>'Derived 5Y Spreads'!O173</f>
        <v>stale</v>
      </c>
      <c r="I173" s="26" t="str">
        <f>'Derived 5Y Spreads'!A173</f>
        <v>screenshot-reference-20260824-v1</v>
      </c>
      <c r="J173" s="26" t="str">
        <f>'Derived 5Y Spreads'!D173</f>
        <v>SCREENSHOT.ALPHINC.5Y</v>
      </c>
      <c r="K173" s="9"/>
    </row>
    <row r="174" spans="1:11" x14ac:dyDescent="0.25">
      <c r="A174" s="3">
        <v>46218</v>
      </c>
      <c r="B174" s="2" t="s">
        <v>26</v>
      </c>
      <c r="C174" s="18">
        <f>'Derived 5Y Spreads'!G174</f>
        <v>47.5</v>
      </c>
      <c r="D174" s="19">
        <f>C174-'Derived 5Y Spreads'!G167</f>
        <v>-0.25</v>
      </c>
      <c r="E174" s="19">
        <f>C174-'Derived 5Y Spreads'!G139</f>
        <v>4.5</v>
      </c>
      <c r="F174" s="19">
        <f>C174-'Derived 5Y Spreads'!G24</f>
        <v>9.21</v>
      </c>
      <c r="G174" s="20">
        <f>'Derived 5Y Spreads'!E174</f>
      </c>
      <c r="H174" s="21" t="str">
        <f>'Derived 5Y Spreads'!O174</f>
        <v>stale</v>
      </c>
      <c r="I174" s="22" t="str">
        <f>'Derived 5Y Spreads'!A174</f>
        <v>screenshot-reference-20260824-v1</v>
      </c>
      <c r="J174" s="22" t="str">
        <f>'Derived 5Y Spreads'!D174</f>
        <v>SCREENSHOT.MSFT.5Y</v>
      </c>
      <c r="K174" s="5"/>
    </row>
    <row r="175" spans="1:11" x14ac:dyDescent="0.25">
      <c r="A175" s="7">
        <v>46218</v>
      </c>
      <c r="B175" s="6" t="s">
        <v>29</v>
      </c>
      <c r="C175" s="23">
        <f>'Derived 5Y Spreads'!G175</f>
        <v>77.5</v>
      </c>
      <c r="D175" s="24">
        <f>C175-'Derived 5Y Spreads'!G168</f>
        <v>-0.75</v>
      </c>
      <c r="E175" s="24">
        <f>C175-'Derived 5Y Spreads'!G140</f>
        <v>5.640000000000001</v>
      </c>
      <c r="F175" s="24">
        <f>C175-'Derived 5Y Spreads'!G25</f>
        <v>7.930000000000007</v>
      </c>
      <c r="G175" s="25">
        <f>'Derived 5Y Spreads'!E175</f>
      </c>
      <c r="H175" s="21" t="str">
        <f>'Derived 5Y Spreads'!O175</f>
        <v>stale</v>
      </c>
      <c r="I175" s="26" t="str">
        <f>'Derived 5Y Spreads'!A175</f>
        <v>screenshot-reference-20260824-v1</v>
      </c>
      <c r="J175" s="26" t="str">
        <f>'Derived 5Y Spreads'!D175</f>
        <v>SCREENSHOT.METAPL.5Y</v>
      </c>
      <c r="K175" s="9"/>
    </row>
    <row r="176" spans="1:11" x14ac:dyDescent="0.25">
      <c r="A176" s="3">
        <v>46219</v>
      </c>
      <c r="B176" s="2" t="s">
        <v>9</v>
      </c>
      <c r="C176" s="18">
        <f>'Derived 5Y Spreads'!G176</f>
        <v>187.43</v>
      </c>
      <c r="D176" s="19">
        <f>C176-'Derived 5Y Spreads'!G169</f>
        <v>0.14000000000001478</v>
      </c>
      <c r="E176" s="19">
        <f>C176-'Derived 5Y Spreads'!G141</f>
        <v>10.719999999999999</v>
      </c>
      <c r="F176" s="19">
        <f>C176-'Derived 5Y Spreads'!G26</f>
        <v>32.56999999999999</v>
      </c>
      <c r="G176" s="20">
        <f>'Derived 5Y Spreads'!E176</f>
      </c>
      <c r="H176" s="21" t="str">
        <f>'Derived 5Y Spreads'!O176</f>
        <v>stale</v>
      </c>
      <c r="I176" s="22" t="str">
        <f>'Derived 5Y Spreads'!A176</f>
        <v>screenshot-reference-20260824-v1</v>
      </c>
      <c r="J176" s="22" t="str">
        <f>'Derived 5Y Spreads'!D176</f>
        <v>SCREENSHOT.ORCLE.5Y</v>
      </c>
      <c r="K176" s="5"/>
    </row>
    <row r="177" spans="1:11" x14ac:dyDescent="0.25">
      <c r="A177" s="7">
        <v>46219</v>
      </c>
      <c r="B177" s="6" t="s">
        <v>14</v>
      </c>
      <c r="C177" s="23">
        <f>'Derived 5Y Spreads'!G177</f>
        <v>665</v>
      </c>
      <c r="D177" s="24">
        <f>C177-'Derived 5Y Spreads'!G170</f>
        <v>15</v>
      </c>
      <c r="E177" s="24">
        <f>C177-'Derived 5Y Spreads'!G142</f>
        <v>77.5</v>
      </c>
      <c r="F177" s="24">
        <f>C177-'Derived 5Y Spreads'!G27</f>
        <v>180.70999999999998</v>
      </c>
      <c r="G177" s="25">
        <f>'Derived 5Y Spreads'!E177</f>
      </c>
      <c r="H177" s="21" t="str">
        <f>'Derived 5Y Spreads'!O177</f>
        <v>stale</v>
      </c>
      <c r="I177" s="26" t="str">
        <f>'Derived 5Y Spreads'!A177</f>
        <v>screenshot-reference-20260824-v1</v>
      </c>
      <c r="J177" s="26" t="str">
        <f>'Derived 5Y Spreads'!D177</f>
        <v>SCREENSHOT.COREWEI.5Y</v>
      </c>
      <c r="K177" s="9"/>
    </row>
    <row r="178" spans="1:11" x14ac:dyDescent="0.25">
      <c r="A178" s="3">
        <v>46219</v>
      </c>
      <c r="B178" s="2" t="s">
        <v>17</v>
      </c>
      <c r="C178" s="18">
        <f>'Derived 5Y Spreads'!G178</f>
        <v>57.67</v>
      </c>
      <c r="D178" s="19">
        <f>C178-'Derived 5Y Spreads'!G171</f>
        <v>0.3400000000000034</v>
      </c>
      <c r="E178" s="19">
        <f>C178-'Derived 5Y Spreads'!G143</f>
        <v>10.670000000000002</v>
      </c>
      <c r="F178" s="19" t="str">
        <f>IFERROR(NA(),"")</f>
        <v/>
      </c>
      <c r="G178" s="20">
        <f>'Derived 5Y Spreads'!E178</f>
      </c>
      <c r="H178" s="21" t="str">
        <f>'Derived 5Y Spreads'!O178</f>
        <v>stale</v>
      </c>
      <c r="I178" s="22" t="str">
        <f>'Derived 5Y Spreads'!A178</f>
        <v>screenshot-reference-20260824-v1</v>
      </c>
      <c r="J178" s="22" t="str">
        <f>'Derived 5Y Spreads'!D178</f>
        <v>SCREENSHOT.NVIDIA.5Y</v>
      </c>
      <c r="K178" s="5"/>
    </row>
    <row r="179" spans="1:11" x14ac:dyDescent="0.25">
      <c r="A179" s="7">
        <v>46219</v>
      </c>
      <c r="B179" s="6" t="s">
        <v>20</v>
      </c>
      <c r="C179" s="23">
        <f>'Derived 5Y Spreads'!G179</f>
        <v>57.75</v>
      </c>
      <c r="D179" s="24">
        <f>C179-'Derived 5Y Spreads'!G172</f>
        <v>-0.75</v>
      </c>
      <c r="E179" s="24">
        <f>C179-'Derived 5Y Spreads'!G144</f>
        <v>1.75</v>
      </c>
      <c r="F179" s="24">
        <f>C179-'Derived 5Y Spreads'!G28</f>
        <v>7.609999999999999</v>
      </c>
      <c r="G179" s="25">
        <f>'Derived 5Y Spreads'!E179</f>
      </c>
      <c r="H179" s="21" t="str">
        <f>'Derived 5Y Spreads'!O179</f>
        <v>stale</v>
      </c>
      <c r="I179" s="26" t="str">
        <f>'Derived 5Y Spreads'!A179</f>
        <v>screenshot-reference-20260824-v1</v>
      </c>
      <c r="J179" s="26" t="str">
        <f>'Derived 5Y Spreads'!D179</f>
        <v>SCREENSHOT.AMZN.5Y</v>
      </c>
      <c r="K179" s="9"/>
    </row>
    <row r="180" spans="1:11" x14ac:dyDescent="0.25">
      <c r="A180" s="3">
        <v>46219</v>
      </c>
      <c r="B180" s="2" t="s">
        <v>23</v>
      </c>
      <c r="C180" s="18">
        <f>'Derived 5Y Spreads'!G180</f>
        <v>57.75</v>
      </c>
      <c r="D180" s="19">
        <f>C180-'Derived 5Y Spreads'!G173</f>
        <v>-0.75</v>
      </c>
      <c r="E180" s="19">
        <f>C180-'Derived 5Y Spreads'!G145</f>
        <v>1.75</v>
      </c>
      <c r="F180" s="19">
        <f>C180-'Derived 5Y Spreads'!G29</f>
        <v>8.61</v>
      </c>
      <c r="G180" s="20">
        <f>'Derived 5Y Spreads'!E180</f>
      </c>
      <c r="H180" s="21" t="str">
        <f>'Derived 5Y Spreads'!O180</f>
        <v>stale</v>
      </c>
      <c r="I180" s="22" t="str">
        <f>'Derived 5Y Spreads'!A180</f>
        <v>screenshot-reference-20260824-v1</v>
      </c>
      <c r="J180" s="22" t="str">
        <f>'Derived 5Y Spreads'!D180</f>
        <v>SCREENSHOT.ALPHINC.5Y</v>
      </c>
      <c r="K180" s="5"/>
    </row>
    <row r="181" spans="1:11" x14ac:dyDescent="0.25">
      <c r="A181" s="7">
        <v>46219</v>
      </c>
      <c r="B181" s="6" t="s">
        <v>26</v>
      </c>
      <c r="C181" s="23">
        <f>'Derived 5Y Spreads'!G181</f>
        <v>47.25</v>
      </c>
      <c r="D181" s="24">
        <f>C181-'Derived 5Y Spreads'!G174</f>
        <v>-0.25</v>
      </c>
      <c r="E181" s="24">
        <f>C181-'Derived 5Y Spreads'!G146</f>
        <v>3.25</v>
      </c>
      <c r="F181" s="24">
        <f>C181-'Derived 5Y Spreads'!G30</f>
        <v>9.11</v>
      </c>
      <c r="G181" s="25">
        <f>'Derived 5Y Spreads'!E181</f>
      </c>
      <c r="H181" s="21" t="str">
        <f>'Derived 5Y Spreads'!O181</f>
        <v>stale</v>
      </c>
      <c r="I181" s="26" t="str">
        <f>'Derived 5Y Spreads'!A181</f>
        <v>screenshot-reference-20260824-v1</v>
      </c>
      <c r="J181" s="26" t="str">
        <f>'Derived 5Y Spreads'!D181</f>
        <v>SCREENSHOT.MSFT.5Y</v>
      </c>
      <c r="K181" s="9"/>
    </row>
    <row r="182" spans="1:11" x14ac:dyDescent="0.25">
      <c r="A182" s="3">
        <v>46219</v>
      </c>
      <c r="B182" s="2" t="s">
        <v>29</v>
      </c>
      <c r="C182" s="18">
        <f>'Derived 5Y Spreads'!G182</f>
        <v>76.75</v>
      </c>
      <c r="D182" s="19">
        <f>C182-'Derived 5Y Spreads'!G175</f>
        <v>-0.75</v>
      </c>
      <c r="E182" s="19">
        <f>C182-'Derived 5Y Spreads'!G147</f>
        <v>3.4599999999999937</v>
      </c>
      <c r="F182" s="19">
        <f>C182-'Derived 5Y Spreads'!G31</f>
        <v>7.459999999999994</v>
      </c>
      <c r="G182" s="20">
        <f>'Derived 5Y Spreads'!E182</f>
      </c>
      <c r="H182" s="21" t="str">
        <f>'Derived 5Y Spreads'!O182</f>
        <v>stale</v>
      </c>
      <c r="I182" s="22" t="str">
        <f>'Derived 5Y Spreads'!A182</f>
        <v>screenshot-reference-20260824-v1</v>
      </c>
      <c r="J182" s="22" t="str">
        <f>'Derived 5Y Spreads'!D182</f>
        <v>SCREENSHOT.METAPL.5Y</v>
      </c>
      <c r="K182" s="5"/>
    </row>
    <row r="183" spans="1:11" x14ac:dyDescent="0.25">
      <c r="A183" s="7">
        <v>46220</v>
      </c>
      <c r="B183" s="6" t="s">
        <v>9</v>
      </c>
      <c r="C183" s="23">
        <f>'Derived 5Y Spreads'!G183</f>
        <v>187.57</v>
      </c>
      <c r="D183" s="24">
        <f>C183-'Derived 5Y Spreads'!G176</f>
        <v>0.13999999999998636</v>
      </c>
      <c r="E183" s="24">
        <f>C183-'Derived 5Y Spreads'!G148</f>
        <v>8.280000000000001</v>
      </c>
      <c r="F183" s="24">
        <f>C183-'Derived 5Y Spreads'!G32</f>
        <v>31.859999999999985</v>
      </c>
      <c r="G183" s="25">
        <f>'Derived 5Y Spreads'!E183</f>
      </c>
      <c r="H183" s="21" t="str">
        <f>'Derived 5Y Spreads'!O183</f>
        <v>stale</v>
      </c>
      <c r="I183" s="26" t="str">
        <f>'Derived 5Y Spreads'!A183</f>
        <v>screenshot-reference-20260824-v1</v>
      </c>
      <c r="J183" s="26" t="str">
        <f>'Derived 5Y Spreads'!D183</f>
        <v>SCREENSHOT.ORCLE.5Y</v>
      </c>
      <c r="K183" s="9"/>
    </row>
    <row r="184" spans="1:11" x14ac:dyDescent="0.25">
      <c r="A184" s="3">
        <v>46220</v>
      </c>
      <c r="B184" s="2" t="s">
        <v>14</v>
      </c>
      <c r="C184" s="18">
        <f>'Derived 5Y Spreads'!G184</f>
        <v>680</v>
      </c>
      <c r="D184" s="19">
        <f>C184-'Derived 5Y Spreads'!G177</f>
        <v>15</v>
      </c>
      <c r="E184" s="19">
        <f>C184-'Derived 5Y Spreads'!G149</f>
        <v>105</v>
      </c>
      <c r="F184" s="19">
        <f>C184-'Derived 5Y Spreads'!G33</f>
        <v>200</v>
      </c>
      <c r="G184" s="20">
        <f>'Derived 5Y Spreads'!E184</f>
      </c>
      <c r="H184" s="21" t="str">
        <f>'Derived 5Y Spreads'!O184</f>
        <v>stale</v>
      </c>
      <c r="I184" s="22" t="str">
        <f>'Derived 5Y Spreads'!A184</f>
        <v>screenshot-reference-20260824-v1</v>
      </c>
      <c r="J184" s="22" t="str">
        <f>'Derived 5Y Spreads'!D184</f>
        <v>SCREENSHOT.COREWEI.5Y</v>
      </c>
      <c r="K184" s="5"/>
    </row>
    <row r="185" spans="1:11" x14ac:dyDescent="0.25">
      <c r="A185" s="7">
        <v>46220</v>
      </c>
      <c r="B185" s="6" t="s">
        <v>17</v>
      </c>
      <c r="C185" s="23">
        <f>'Derived 5Y Spreads'!G185</f>
        <v>58</v>
      </c>
      <c r="D185" s="24">
        <f>C185-'Derived 5Y Spreads'!G178</f>
        <v>0.3299999999999983</v>
      </c>
      <c r="E185" s="24">
        <f>C185-'Derived 5Y Spreads'!G150</f>
        <v>9</v>
      </c>
      <c r="F185" s="24" t="str">
        <f>IFERROR(NA(),"")</f>
        <v/>
      </c>
      <c r="G185" s="25">
        <f>'Derived 5Y Spreads'!E185</f>
      </c>
      <c r="H185" s="21" t="str">
        <f>'Derived 5Y Spreads'!O185</f>
        <v>stale</v>
      </c>
      <c r="I185" s="26" t="str">
        <f>'Derived 5Y Spreads'!A185</f>
        <v>screenshot-reference-20260824-v1</v>
      </c>
      <c r="J185" s="26" t="str">
        <f>'Derived 5Y Spreads'!D185</f>
        <v>SCREENSHOT.NVIDIA.5Y</v>
      </c>
      <c r="K185" s="9"/>
    </row>
    <row r="186" spans="1:11" x14ac:dyDescent="0.25">
      <c r="A186" s="3">
        <v>46220</v>
      </c>
      <c r="B186" s="2" t="s">
        <v>20</v>
      </c>
      <c r="C186" s="18">
        <f>'Derived 5Y Spreads'!G186</f>
        <v>57</v>
      </c>
      <c r="D186" s="19">
        <f>C186-'Derived 5Y Spreads'!G179</f>
        <v>-0.75</v>
      </c>
      <c r="E186" s="19">
        <f>C186-'Derived 5Y Spreads'!G151</f>
        <v>0</v>
      </c>
      <c r="F186" s="19">
        <f>C186-'Derived 5Y Spreads'!G34</f>
        <v>7</v>
      </c>
      <c r="G186" s="20">
        <f>'Derived 5Y Spreads'!E186</f>
      </c>
      <c r="H186" s="21" t="str">
        <f>'Derived 5Y Spreads'!O186</f>
        <v>stale</v>
      </c>
      <c r="I186" s="22" t="str">
        <f>'Derived 5Y Spreads'!A186</f>
        <v>screenshot-reference-20260824-v1</v>
      </c>
      <c r="J186" s="22" t="str">
        <f>'Derived 5Y Spreads'!D186</f>
        <v>SCREENSHOT.AMZN.5Y</v>
      </c>
      <c r="K186" s="5"/>
    </row>
    <row r="187" spans="1:11" x14ac:dyDescent="0.25">
      <c r="A187" s="7">
        <v>46220</v>
      </c>
      <c r="B187" s="6" t="s">
        <v>23</v>
      </c>
      <c r="C187" s="23">
        <f>'Derived 5Y Spreads'!G187</f>
        <v>57</v>
      </c>
      <c r="D187" s="24">
        <f>C187-'Derived 5Y Spreads'!G180</f>
        <v>-0.75</v>
      </c>
      <c r="E187" s="24">
        <f>C187-'Derived 5Y Spreads'!G152</f>
        <v>0</v>
      </c>
      <c r="F187" s="24">
        <f>C187-'Derived 5Y Spreads'!G35</f>
        <v>8</v>
      </c>
      <c r="G187" s="25">
        <f>'Derived 5Y Spreads'!E187</f>
      </c>
      <c r="H187" s="21" t="str">
        <f>'Derived 5Y Spreads'!O187</f>
        <v>stale</v>
      </c>
      <c r="I187" s="26" t="str">
        <f>'Derived 5Y Spreads'!A187</f>
        <v>screenshot-reference-20260824-v1</v>
      </c>
      <c r="J187" s="26" t="str">
        <f>'Derived 5Y Spreads'!D187</f>
        <v>SCREENSHOT.ALPHINC.5Y</v>
      </c>
      <c r="K187" s="9"/>
    </row>
    <row r="188" spans="1:11" x14ac:dyDescent="0.25">
      <c r="A188" s="3">
        <v>46220</v>
      </c>
      <c r="B188" s="2" t="s">
        <v>26</v>
      </c>
      <c r="C188" s="18">
        <f>'Derived 5Y Spreads'!G188</f>
        <v>47</v>
      </c>
      <c r="D188" s="19">
        <f>C188-'Derived 5Y Spreads'!G181</f>
        <v>-0.25</v>
      </c>
      <c r="E188" s="19">
        <f>C188-'Derived 5Y Spreads'!G153</f>
        <v>2</v>
      </c>
      <c r="F188" s="19">
        <f>C188-'Derived 5Y Spreads'!G36</f>
        <v>9</v>
      </c>
      <c r="G188" s="20">
        <f>'Derived 5Y Spreads'!E188</f>
      </c>
      <c r="H188" s="21" t="str">
        <f>'Derived 5Y Spreads'!O188</f>
        <v>stale</v>
      </c>
      <c r="I188" s="22" t="str">
        <f>'Derived 5Y Spreads'!A188</f>
        <v>screenshot-reference-20260824-v1</v>
      </c>
      <c r="J188" s="22" t="str">
        <f>'Derived 5Y Spreads'!D188</f>
        <v>SCREENSHOT.MSFT.5Y</v>
      </c>
      <c r="K188" s="5"/>
    </row>
    <row r="189" spans="1:11" x14ac:dyDescent="0.25">
      <c r="A189" s="7">
        <v>46220</v>
      </c>
      <c r="B189" s="6" t="s">
        <v>29</v>
      </c>
      <c r="C189" s="23">
        <f>'Derived 5Y Spreads'!G189</f>
        <v>76</v>
      </c>
      <c r="D189" s="24">
        <f>C189-'Derived 5Y Spreads'!G182</f>
        <v>-0.75</v>
      </c>
      <c r="E189" s="24">
        <f>C189-'Derived 5Y Spreads'!G154</f>
        <v>1.2900000000000063</v>
      </c>
      <c r="F189" s="24">
        <f>C189-'Derived 5Y Spreads'!G37</f>
        <v>7</v>
      </c>
      <c r="G189" s="25">
        <f>'Derived 5Y Spreads'!E189</f>
      </c>
      <c r="H189" s="21" t="str">
        <f>'Derived 5Y Spreads'!O189</f>
        <v>stale</v>
      </c>
      <c r="I189" s="26" t="str">
        <f>'Derived 5Y Spreads'!A189</f>
        <v>screenshot-reference-20260824-v1</v>
      </c>
      <c r="J189" s="26" t="str">
        <f>'Derived 5Y Spreads'!D189</f>
        <v>SCREENSHOT.METAPL.5Y</v>
      </c>
      <c r="K189" s="9"/>
    </row>
    <row r="190" spans="1:11" x14ac:dyDescent="0.25">
      <c r="A190" s="3">
        <v>46223</v>
      </c>
      <c r="B190" s="2" t="s">
        <v>9</v>
      </c>
      <c r="C190" s="18">
        <f>'Derived 5Y Spreads'!G190</f>
        <v>188</v>
      </c>
      <c r="D190" s="19">
        <f>C190-'Derived 5Y Spreads'!G183</f>
        <v>0.4300000000000068</v>
      </c>
      <c r="E190" s="19">
        <f>C190-'Derived 5Y Spreads'!G155</f>
        <v>1</v>
      </c>
      <c r="F190" s="19">
        <f>C190-'Derived 5Y Spreads'!G44</f>
        <v>30.569999999999993</v>
      </c>
      <c r="G190" s="20">
        <f>'Derived 5Y Spreads'!E190</f>
      </c>
      <c r="H190" s="21" t="str">
        <f>'Derived 5Y Spreads'!O190</f>
        <v>stale</v>
      </c>
      <c r="I190" s="22" t="str">
        <f>'Derived 5Y Spreads'!A190</f>
        <v>screenshot-reference-20260824-v1</v>
      </c>
      <c r="J190" s="22" t="str">
        <f>'Derived 5Y Spreads'!D190</f>
        <v>SCREENSHOT.ORCLE.5Y</v>
      </c>
      <c r="K190" s="5"/>
    </row>
    <row r="191" spans="1:11" x14ac:dyDescent="0.25">
      <c r="A191" s="7">
        <v>46223</v>
      </c>
      <c r="B191" s="6" t="s">
        <v>14</v>
      </c>
      <c r="C191" s="23">
        <f>'Derived 5Y Spreads'!G191</f>
        <v>687.5</v>
      </c>
      <c r="D191" s="24">
        <f>C191-'Derived 5Y Spreads'!G184</f>
        <v>7.5</v>
      </c>
      <c r="E191" s="24">
        <f>C191-'Derived 5Y Spreads'!G156</f>
        <v>67.5</v>
      </c>
      <c r="F191" s="24">
        <f>C191-'Derived 5Y Spreads'!G45</f>
        <v>186.07</v>
      </c>
      <c r="G191" s="25">
        <f>'Derived 5Y Spreads'!E191</f>
      </c>
      <c r="H191" s="21" t="str">
        <f>'Derived 5Y Spreads'!O191</f>
        <v>stale</v>
      </c>
      <c r="I191" s="26" t="str">
        <f>'Derived 5Y Spreads'!A191</f>
        <v>screenshot-reference-20260824-v1</v>
      </c>
      <c r="J191" s="26" t="str">
        <f>'Derived 5Y Spreads'!D191</f>
        <v>SCREENSHOT.COREWEI.5Y</v>
      </c>
      <c r="K191" s="9"/>
    </row>
    <row r="192" spans="1:11" x14ac:dyDescent="0.25">
      <c r="A192" s="3">
        <v>46223</v>
      </c>
      <c r="B192" s="2" t="s">
        <v>17</v>
      </c>
      <c r="C192" s="18">
        <f>'Derived 5Y Spreads'!G192</f>
        <v>59</v>
      </c>
      <c r="D192" s="19">
        <f>C192-'Derived 5Y Spreads'!G185</f>
        <v>1</v>
      </c>
      <c r="E192" s="19">
        <f>C192-'Derived 5Y Spreads'!G157</f>
        <v>4</v>
      </c>
      <c r="F192" s="19" t="str">
        <f>IFERROR(NA(),"")</f>
        <v/>
      </c>
      <c r="G192" s="20">
        <f>'Derived 5Y Spreads'!E192</f>
      </c>
      <c r="H192" s="21" t="str">
        <f>'Derived 5Y Spreads'!O192</f>
        <v>stale</v>
      </c>
      <c r="I192" s="22" t="str">
        <f>'Derived 5Y Spreads'!A192</f>
        <v>screenshot-reference-20260824-v1</v>
      </c>
      <c r="J192" s="22" t="str">
        <f>'Derived 5Y Spreads'!D192</f>
        <v>SCREENSHOT.NVIDIA.5Y</v>
      </c>
      <c r="K192" s="5"/>
    </row>
    <row r="193" spans="1:11" x14ac:dyDescent="0.25">
      <c r="A193" s="7">
        <v>46223</v>
      </c>
      <c r="B193" s="6" t="s">
        <v>20</v>
      </c>
      <c r="C193" s="23">
        <f>'Derived 5Y Spreads'!G193</f>
        <v>58.2</v>
      </c>
      <c r="D193" s="24">
        <f>C193-'Derived 5Y Spreads'!G186</f>
        <v>1.2000000000000028</v>
      </c>
      <c r="E193" s="24">
        <f>C193-'Derived 5Y Spreads'!G158</f>
        <v>-1.7999999999999972</v>
      </c>
      <c r="F193" s="24">
        <f>C193-'Derived 5Y Spreads'!G46</f>
        <v>7.060000000000002</v>
      </c>
      <c r="G193" s="25">
        <f>'Derived 5Y Spreads'!E193</f>
      </c>
      <c r="H193" s="21" t="str">
        <f>'Derived 5Y Spreads'!O193</f>
        <v>stale</v>
      </c>
      <c r="I193" s="26" t="str">
        <f>'Derived 5Y Spreads'!A193</f>
        <v>screenshot-reference-20260824-v1</v>
      </c>
      <c r="J193" s="26" t="str">
        <f>'Derived 5Y Spreads'!D193</f>
        <v>SCREENSHOT.AMZN.5Y</v>
      </c>
      <c r="K193" s="9"/>
    </row>
    <row r="194" spans="1:11" x14ac:dyDescent="0.25">
      <c r="A194" s="3">
        <v>46223</v>
      </c>
      <c r="B194" s="2" t="s">
        <v>23</v>
      </c>
      <c r="C194" s="18">
        <f>'Derived 5Y Spreads'!G194</f>
        <v>58.5</v>
      </c>
      <c r="D194" s="19">
        <f>C194-'Derived 5Y Spreads'!G187</f>
        <v>1.5</v>
      </c>
      <c r="E194" s="19">
        <f>C194-'Derived 5Y Spreads'!G159</f>
        <v>-1.5</v>
      </c>
      <c r="F194" s="19">
        <f>C194-'Derived 5Y Spreads'!G47</f>
        <v>8.64</v>
      </c>
      <c r="G194" s="20">
        <f>'Derived 5Y Spreads'!E194</f>
      </c>
      <c r="H194" s="21" t="str">
        <f>'Derived 5Y Spreads'!O194</f>
        <v>stale</v>
      </c>
      <c r="I194" s="22" t="str">
        <f>'Derived 5Y Spreads'!A194</f>
        <v>screenshot-reference-20260824-v1</v>
      </c>
      <c r="J194" s="22" t="str">
        <f>'Derived 5Y Spreads'!D194</f>
        <v>SCREENSHOT.ALPHINC.5Y</v>
      </c>
      <c r="K194" s="5"/>
    </row>
    <row r="195" spans="1:11" x14ac:dyDescent="0.25">
      <c r="A195" s="7">
        <v>46223</v>
      </c>
      <c r="B195" s="6" t="s">
        <v>26</v>
      </c>
      <c r="C195" s="23">
        <f>'Derived 5Y Spreads'!G195</f>
        <v>47.6</v>
      </c>
      <c r="D195" s="24">
        <f>C195-'Derived 5Y Spreads'!G188</f>
        <v>0.6000000000000014</v>
      </c>
      <c r="E195" s="24">
        <f>C195-'Derived 5Y Spreads'!G160</f>
        <v>-0.3999999999999986</v>
      </c>
      <c r="F195" s="24">
        <f>C195-'Derived 5Y Spreads'!G48</f>
        <v>9.030000000000001</v>
      </c>
      <c r="G195" s="25">
        <f>'Derived 5Y Spreads'!E195</f>
      </c>
      <c r="H195" s="21" t="str">
        <f>'Derived 5Y Spreads'!O195</f>
        <v>stale</v>
      </c>
      <c r="I195" s="26" t="str">
        <f>'Derived 5Y Spreads'!A195</f>
        <v>screenshot-reference-20260824-v1</v>
      </c>
      <c r="J195" s="26" t="str">
        <f>'Derived 5Y Spreads'!D195</f>
        <v>SCREENSHOT.MSFT.5Y</v>
      </c>
      <c r="K195" s="9"/>
    </row>
    <row r="196" spans="1:11" x14ac:dyDescent="0.25">
      <c r="A196" s="3">
        <v>46223</v>
      </c>
      <c r="B196" s="2" t="s">
        <v>29</v>
      </c>
      <c r="C196" s="18">
        <f>'Derived 5Y Spreads'!G196</f>
        <v>77.8</v>
      </c>
      <c r="D196" s="19">
        <f>C196-'Derived 5Y Spreads'!G189</f>
        <v>1.7999999999999972</v>
      </c>
      <c r="E196" s="19">
        <f>C196-'Derived 5Y Spreads'!G161</f>
        <v>-1.2000000000000028</v>
      </c>
      <c r="F196" s="19">
        <f>C196-'Derived 5Y Spreads'!G49</f>
        <v>8.230000000000004</v>
      </c>
      <c r="G196" s="20">
        <f>'Derived 5Y Spreads'!E196</f>
      </c>
      <c r="H196" s="21" t="str">
        <f>'Derived 5Y Spreads'!O196</f>
        <v>stale</v>
      </c>
      <c r="I196" s="22" t="str">
        <f>'Derived 5Y Spreads'!A196</f>
        <v>screenshot-reference-20260824-v1</v>
      </c>
      <c r="J196" s="22" t="str">
        <f>'Derived 5Y Spreads'!D196</f>
        <v>SCREENSHOT.METAPL.5Y</v>
      </c>
      <c r="K196" s="5"/>
    </row>
    <row r="197" spans="1:11" x14ac:dyDescent="0.25">
      <c r="A197" s="7">
        <v>46224</v>
      </c>
      <c r="B197" s="6" t="s">
        <v>9</v>
      </c>
      <c r="C197" s="23">
        <f>'Derived 5Y Spreads'!G197</f>
        <v>192.25</v>
      </c>
      <c r="D197" s="24">
        <f>C197-'Derived 5Y Spreads'!G190</f>
        <v>4.25</v>
      </c>
      <c r="E197" s="24">
        <f>C197-'Derived 5Y Spreads'!G162</f>
        <v>5.110000000000014</v>
      </c>
      <c r="F197" s="24">
        <f>C197-'Derived 5Y Spreads'!G44</f>
        <v>34.81999999999999</v>
      </c>
      <c r="G197" s="25">
        <f>'Derived 5Y Spreads'!E197</f>
      </c>
      <c r="H197" s="21" t="str">
        <f>'Derived 5Y Spreads'!O197</f>
        <v>stale</v>
      </c>
      <c r="I197" s="26" t="str">
        <f>'Derived 5Y Spreads'!A197</f>
        <v>screenshot-reference-20260824-v1</v>
      </c>
      <c r="J197" s="26" t="str">
        <f>'Derived 5Y Spreads'!D197</f>
        <v>SCREENSHOT.ORCLE.5Y</v>
      </c>
      <c r="K197" s="9"/>
    </row>
    <row r="198" spans="1:11" x14ac:dyDescent="0.25">
      <c r="A198" s="3">
        <v>46224</v>
      </c>
      <c r="B198" s="2" t="s">
        <v>14</v>
      </c>
      <c r="C198" s="18">
        <f>'Derived 5Y Spreads'!G198</f>
        <v>690</v>
      </c>
      <c r="D198" s="19">
        <f>C198-'Derived 5Y Spreads'!G191</f>
        <v>2.5</v>
      </c>
      <c r="E198" s="19">
        <f>C198-'Derived 5Y Spreads'!G163</f>
        <v>55</v>
      </c>
      <c r="F198" s="19">
        <f>C198-'Derived 5Y Spreads'!G45</f>
        <v>188.57</v>
      </c>
      <c r="G198" s="20">
        <f>'Derived 5Y Spreads'!E198</f>
      </c>
      <c r="H198" s="21" t="str">
        <f>'Derived 5Y Spreads'!O198</f>
        <v>stale</v>
      </c>
      <c r="I198" s="22" t="str">
        <f>'Derived 5Y Spreads'!A198</f>
        <v>screenshot-reference-20260824-v1</v>
      </c>
      <c r="J198" s="22" t="str">
        <f>'Derived 5Y Spreads'!D198</f>
        <v>SCREENSHOT.COREWEI.5Y</v>
      </c>
      <c r="K198" s="5"/>
    </row>
    <row r="199" spans="1:11" x14ac:dyDescent="0.25">
      <c r="A199" s="7">
        <v>46224</v>
      </c>
      <c r="B199" s="6" t="s">
        <v>17</v>
      </c>
      <c r="C199" s="23">
        <f>'Derived 5Y Spreads'!G199</f>
        <v>61.75</v>
      </c>
      <c r="D199" s="24">
        <f>C199-'Derived 5Y Spreads'!G192</f>
        <v>2.75</v>
      </c>
      <c r="E199" s="24">
        <f>C199-'Derived 5Y Spreads'!G164</f>
        <v>4.75</v>
      </c>
      <c r="F199" s="24" t="str">
        <f>IFERROR(NA(),"")</f>
        <v/>
      </c>
      <c r="G199" s="25">
        <f>'Derived 5Y Spreads'!E199</f>
      </c>
      <c r="H199" s="21" t="str">
        <f>'Derived 5Y Spreads'!O199</f>
        <v>stale</v>
      </c>
      <c r="I199" s="26" t="str">
        <f>'Derived 5Y Spreads'!A199</f>
        <v>screenshot-reference-20260824-v1</v>
      </c>
      <c r="J199" s="26" t="str">
        <f>'Derived 5Y Spreads'!D199</f>
        <v>SCREENSHOT.NVIDIA.5Y</v>
      </c>
      <c r="K199" s="9"/>
    </row>
    <row r="200" spans="1:11" x14ac:dyDescent="0.25">
      <c r="A200" s="3">
        <v>46224</v>
      </c>
      <c r="B200" s="2" t="s">
        <v>20</v>
      </c>
      <c r="C200" s="18">
        <f>'Derived 5Y Spreads'!G200</f>
        <v>58.6</v>
      </c>
      <c r="D200" s="19">
        <f>C200-'Derived 5Y Spreads'!G193</f>
        <v>0.3999999999999986</v>
      </c>
      <c r="E200" s="19">
        <f>C200-'Derived 5Y Spreads'!G165</f>
        <v>-0.6499999999999986</v>
      </c>
      <c r="F200" s="19">
        <f>C200-'Derived 5Y Spreads'!G46</f>
        <v>7.460000000000001</v>
      </c>
      <c r="G200" s="20">
        <f>'Derived 5Y Spreads'!E200</f>
      </c>
      <c r="H200" s="21" t="str">
        <f>'Derived 5Y Spreads'!O200</f>
        <v>stale</v>
      </c>
      <c r="I200" s="22" t="str">
        <f>'Derived 5Y Spreads'!A200</f>
        <v>screenshot-reference-20260824-v1</v>
      </c>
      <c r="J200" s="22" t="str">
        <f>'Derived 5Y Spreads'!D200</f>
        <v>SCREENSHOT.AMZN.5Y</v>
      </c>
      <c r="K200" s="5"/>
    </row>
    <row r="201" spans="1:11" x14ac:dyDescent="0.25">
      <c r="A201" s="7">
        <v>46224</v>
      </c>
      <c r="B201" s="6" t="s">
        <v>23</v>
      </c>
      <c r="C201" s="23">
        <f>'Derived 5Y Spreads'!G201</f>
        <v>59</v>
      </c>
      <c r="D201" s="24">
        <f>C201-'Derived 5Y Spreads'!G194</f>
        <v>0.5</v>
      </c>
      <c r="E201" s="24">
        <f>C201-'Derived 5Y Spreads'!G166</f>
        <v>-0.25</v>
      </c>
      <c r="F201" s="24">
        <f>C201-'Derived 5Y Spreads'!G47</f>
        <v>9.14</v>
      </c>
      <c r="G201" s="25">
        <f>'Derived 5Y Spreads'!E201</f>
      </c>
      <c r="H201" s="21" t="str">
        <f>'Derived 5Y Spreads'!O201</f>
        <v>stale</v>
      </c>
      <c r="I201" s="26" t="str">
        <f>'Derived 5Y Spreads'!A201</f>
        <v>screenshot-reference-20260824-v1</v>
      </c>
      <c r="J201" s="26" t="str">
        <f>'Derived 5Y Spreads'!D201</f>
        <v>SCREENSHOT.ALPHINC.5Y</v>
      </c>
      <c r="K201" s="9"/>
    </row>
    <row r="202" spans="1:11" x14ac:dyDescent="0.25">
      <c r="A202" s="3">
        <v>46224</v>
      </c>
      <c r="B202" s="2" t="s">
        <v>26</v>
      </c>
      <c r="C202" s="18">
        <f>'Derived 5Y Spreads'!G202</f>
        <v>47.8</v>
      </c>
      <c r="D202" s="19">
        <f>C202-'Derived 5Y Spreads'!G195</f>
        <v>0.19999999999999574</v>
      </c>
      <c r="E202" s="19">
        <f>C202-'Derived 5Y Spreads'!G167</f>
        <v>0.04999999999999716</v>
      </c>
      <c r="F202" s="19">
        <f>C202-'Derived 5Y Spreads'!G48</f>
        <v>9.229999999999997</v>
      </c>
      <c r="G202" s="20">
        <f>'Derived 5Y Spreads'!E202</f>
      </c>
      <c r="H202" s="21" t="str">
        <f>'Derived 5Y Spreads'!O202</f>
        <v>stale</v>
      </c>
      <c r="I202" s="22" t="str">
        <f>'Derived 5Y Spreads'!A202</f>
        <v>screenshot-reference-20260824-v1</v>
      </c>
      <c r="J202" s="22" t="str">
        <f>'Derived 5Y Spreads'!D202</f>
        <v>SCREENSHOT.MSFT.5Y</v>
      </c>
      <c r="K202" s="5"/>
    </row>
    <row r="203" spans="1:11" x14ac:dyDescent="0.25">
      <c r="A203" s="7">
        <v>46224</v>
      </c>
      <c r="B203" s="6" t="s">
        <v>29</v>
      </c>
      <c r="C203" s="23">
        <f>'Derived 5Y Spreads'!G203</f>
        <v>78.4</v>
      </c>
      <c r="D203" s="24">
        <f>C203-'Derived 5Y Spreads'!G196</f>
        <v>0.6000000000000085</v>
      </c>
      <c r="E203" s="24">
        <f>C203-'Derived 5Y Spreads'!G168</f>
        <v>0.15000000000000568</v>
      </c>
      <c r="F203" s="24">
        <f>C203-'Derived 5Y Spreads'!G49</f>
        <v>8.830000000000013</v>
      </c>
      <c r="G203" s="25">
        <f>'Derived 5Y Spreads'!E203</f>
      </c>
      <c r="H203" s="21" t="str">
        <f>'Derived 5Y Spreads'!O203</f>
        <v>stale</v>
      </c>
      <c r="I203" s="26" t="str">
        <f>'Derived 5Y Spreads'!A203</f>
        <v>screenshot-reference-20260824-v1</v>
      </c>
      <c r="J203" s="26" t="str">
        <f>'Derived 5Y Spreads'!D203</f>
        <v>SCREENSHOT.METAPL.5Y</v>
      </c>
      <c r="K203" s="9"/>
    </row>
    <row r="204" spans="1:11" x14ac:dyDescent="0.25">
      <c r="A204" s="3">
        <v>46225</v>
      </c>
      <c r="B204" s="2" t="s">
        <v>9</v>
      </c>
      <c r="C204" s="18">
        <f>'Derived 5Y Spreads'!G204</f>
        <v>196.5</v>
      </c>
      <c r="D204" s="19">
        <f>C204-'Derived 5Y Spreads'!G197</f>
        <v>4.25</v>
      </c>
      <c r="E204" s="19">
        <f>C204-'Derived 5Y Spreads'!G169</f>
        <v>9.210000000000008</v>
      </c>
      <c r="F204" s="19">
        <f>C204-'Derived 5Y Spreads'!G50</f>
        <v>36.5</v>
      </c>
      <c r="G204" s="20">
        <f>'Derived 5Y Spreads'!E204</f>
      </c>
      <c r="H204" s="21" t="str">
        <f>'Derived 5Y Spreads'!O204</f>
        <v>stale</v>
      </c>
      <c r="I204" s="22" t="str">
        <f>'Derived 5Y Spreads'!A204</f>
        <v>screenshot-reference-20260824-v1</v>
      </c>
      <c r="J204" s="22" t="str">
        <f>'Derived 5Y Spreads'!D204</f>
        <v>SCREENSHOT.ORCLE.5Y</v>
      </c>
      <c r="K204" s="5"/>
    </row>
    <row r="205" spans="1:11" x14ac:dyDescent="0.25">
      <c r="A205" s="7">
        <v>46225</v>
      </c>
      <c r="B205" s="6" t="s">
        <v>14</v>
      </c>
      <c r="C205" s="23">
        <f>'Derived 5Y Spreads'!G205</f>
        <v>700</v>
      </c>
      <c r="D205" s="24">
        <f>C205-'Derived 5Y Spreads'!G198</f>
        <v>10</v>
      </c>
      <c r="E205" s="24">
        <f>C205-'Derived 5Y Spreads'!G170</f>
        <v>50</v>
      </c>
      <c r="F205" s="24">
        <f>C205-'Derived 5Y Spreads'!G51</f>
        <v>166.42999999999995</v>
      </c>
      <c r="G205" s="25">
        <f>'Derived 5Y Spreads'!E205</f>
      </c>
      <c r="H205" s="21" t="str">
        <f>'Derived 5Y Spreads'!O205</f>
        <v>stale</v>
      </c>
      <c r="I205" s="26" t="str">
        <f>'Derived 5Y Spreads'!A205</f>
        <v>screenshot-reference-20260824-v1</v>
      </c>
      <c r="J205" s="26" t="str">
        <f>'Derived 5Y Spreads'!D205</f>
        <v>SCREENSHOT.COREWEI.5Y</v>
      </c>
      <c r="K205" s="9"/>
    </row>
    <row r="206" spans="1:11" x14ac:dyDescent="0.25">
      <c r="A206" s="3">
        <v>46225</v>
      </c>
      <c r="B206" s="2" t="s">
        <v>17</v>
      </c>
      <c r="C206" s="18">
        <f>'Derived 5Y Spreads'!G206</f>
        <v>64.5</v>
      </c>
      <c r="D206" s="19">
        <f>C206-'Derived 5Y Spreads'!G199</f>
        <v>2.75</v>
      </c>
      <c r="E206" s="19">
        <f>C206-'Derived 5Y Spreads'!G171</f>
        <v>7.170000000000002</v>
      </c>
      <c r="F206" s="19">
        <f>C206-'Derived 5Y Spreads'!G52</f>
        <v>24.5</v>
      </c>
      <c r="G206" s="20">
        <f>'Derived 5Y Spreads'!E206</f>
      </c>
      <c r="H206" s="21" t="str">
        <f>'Derived 5Y Spreads'!O206</f>
        <v>stale</v>
      </c>
      <c r="I206" s="22" t="str">
        <f>'Derived 5Y Spreads'!A206</f>
        <v>screenshot-reference-20260824-v1</v>
      </c>
      <c r="J206" s="22" t="str">
        <f>'Derived 5Y Spreads'!D206</f>
        <v>SCREENSHOT.NVIDIA.5Y</v>
      </c>
      <c r="K206" s="5"/>
    </row>
    <row r="207" spans="1:11" x14ac:dyDescent="0.25">
      <c r="A207" s="7">
        <v>46225</v>
      </c>
      <c r="B207" s="6" t="s">
        <v>20</v>
      </c>
      <c r="C207" s="23">
        <f>'Derived 5Y Spreads'!G207</f>
        <v>59</v>
      </c>
      <c r="D207" s="24">
        <f>C207-'Derived 5Y Spreads'!G200</f>
        <v>0.3999999999999986</v>
      </c>
      <c r="E207" s="24">
        <f>C207-'Derived 5Y Spreads'!G172</f>
        <v>0.5</v>
      </c>
      <c r="F207" s="24">
        <f>C207-'Derived 5Y Spreads'!G53</f>
        <v>6.140000000000001</v>
      </c>
      <c r="G207" s="25">
        <f>'Derived 5Y Spreads'!E207</f>
      </c>
      <c r="H207" s="21" t="str">
        <f>'Derived 5Y Spreads'!O207</f>
        <v>stale</v>
      </c>
      <c r="I207" s="26" t="str">
        <f>'Derived 5Y Spreads'!A207</f>
        <v>screenshot-reference-20260824-v1</v>
      </c>
      <c r="J207" s="26" t="str">
        <f>'Derived 5Y Spreads'!D207</f>
        <v>SCREENSHOT.AMZN.5Y</v>
      </c>
      <c r="K207" s="9"/>
    </row>
    <row r="208" spans="1:11" x14ac:dyDescent="0.25">
      <c r="A208" s="3">
        <v>46225</v>
      </c>
      <c r="B208" s="2" t="s">
        <v>23</v>
      </c>
      <c r="C208" s="18">
        <f>'Derived 5Y Spreads'!G208</f>
        <v>60.67</v>
      </c>
      <c r="D208" s="19">
        <f>C208-'Derived 5Y Spreads'!G201</f>
        <v>1.6700000000000017</v>
      </c>
      <c r="E208" s="19">
        <f>C208-'Derived 5Y Spreads'!G173</f>
        <v>2.1700000000000017</v>
      </c>
      <c r="F208" s="19">
        <f>C208-'Derived 5Y Spreads'!G54</f>
        <v>9.530000000000001</v>
      </c>
      <c r="G208" s="20">
        <f>'Derived 5Y Spreads'!E208</f>
      </c>
      <c r="H208" s="21" t="str">
        <f>'Derived 5Y Spreads'!O208</f>
        <v>stale</v>
      </c>
      <c r="I208" s="22" t="str">
        <f>'Derived 5Y Spreads'!A208</f>
        <v>screenshot-reference-20260824-v1</v>
      </c>
      <c r="J208" s="22" t="str">
        <f>'Derived 5Y Spreads'!D208</f>
        <v>SCREENSHOT.ALPHINC.5Y</v>
      </c>
      <c r="K208" s="5"/>
    </row>
    <row r="209" spans="1:11" x14ac:dyDescent="0.25">
      <c r="A209" s="7">
        <v>46225</v>
      </c>
      <c r="B209" s="6" t="s">
        <v>26</v>
      </c>
      <c r="C209" s="23">
        <f>'Derived 5Y Spreads'!G209</f>
        <v>48</v>
      </c>
      <c r="D209" s="24">
        <f>C209-'Derived 5Y Spreads'!G202</f>
        <v>0.20000000000000284</v>
      </c>
      <c r="E209" s="24">
        <f>C209-'Derived 5Y Spreads'!G174</f>
        <v>0.5</v>
      </c>
      <c r="F209" s="24">
        <f>C209-'Derived 5Y Spreads'!G55</f>
        <v>8.57</v>
      </c>
      <c r="G209" s="25">
        <f>'Derived 5Y Spreads'!E209</f>
      </c>
      <c r="H209" s="21" t="str">
        <f>'Derived 5Y Spreads'!O209</f>
        <v>stale</v>
      </c>
      <c r="I209" s="26" t="str">
        <f>'Derived 5Y Spreads'!A209</f>
        <v>screenshot-reference-20260824-v1</v>
      </c>
      <c r="J209" s="26" t="str">
        <f>'Derived 5Y Spreads'!D209</f>
        <v>SCREENSHOT.MSFT.5Y</v>
      </c>
      <c r="K209" s="9"/>
    </row>
    <row r="210" spans="1:11" x14ac:dyDescent="0.25">
      <c r="A210" s="3">
        <v>46225</v>
      </c>
      <c r="B210" s="2" t="s">
        <v>29</v>
      </c>
      <c r="C210" s="18">
        <f>'Derived 5Y Spreads'!G210</f>
        <v>79</v>
      </c>
      <c r="D210" s="19">
        <f>C210-'Derived 5Y Spreads'!G203</f>
        <v>0.5999999999999943</v>
      </c>
      <c r="E210" s="19">
        <f>C210-'Derived 5Y Spreads'!G175</f>
        <v>1.5</v>
      </c>
      <c r="F210" s="19">
        <f>C210-'Derived 5Y Spreads'!G56</f>
        <v>8.569999999999993</v>
      </c>
      <c r="G210" s="20">
        <f>'Derived 5Y Spreads'!E210</f>
      </c>
      <c r="H210" s="21" t="str">
        <f>'Derived 5Y Spreads'!O210</f>
        <v>stale</v>
      </c>
      <c r="I210" s="22" t="str">
        <f>'Derived 5Y Spreads'!A210</f>
        <v>screenshot-reference-20260824-v1</v>
      </c>
      <c r="J210" s="22" t="str">
        <f>'Derived 5Y Spreads'!D210</f>
        <v>SCREENSHOT.METAPL.5Y</v>
      </c>
      <c r="K210" s="5"/>
    </row>
    <row r="211" spans="1:11" x14ac:dyDescent="0.25">
      <c r="A211" s="7">
        <v>46226</v>
      </c>
      <c r="B211" s="6" t="s">
        <v>9</v>
      </c>
      <c r="C211" s="23">
        <f>'Derived 5Y Spreads'!G211</f>
        <v>200.75</v>
      </c>
      <c r="D211" s="24">
        <f>C211-'Derived 5Y Spreads'!G204</f>
        <v>4.25</v>
      </c>
      <c r="E211" s="24">
        <f>C211-'Derived 5Y Spreads'!G176</f>
        <v>13.319999999999993</v>
      </c>
      <c r="F211" s="24">
        <f>C211-'Derived 5Y Spreads'!G57</f>
        <v>39.18000000000001</v>
      </c>
      <c r="G211" s="25">
        <f>'Derived 5Y Spreads'!E211</f>
      </c>
      <c r="H211" s="21" t="str">
        <f>'Derived 5Y Spreads'!O211</f>
        <v>stale</v>
      </c>
      <c r="I211" s="26" t="str">
        <f>'Derived 5Y Spreads'!A211</f>
        <v>screenshot-reference-20260824-v1</v>
      </c>
      <c r="J211" s="26" t="str">
        <f>'Derived 5Y Spreads'!D211</f>
        <v>SCREENSHOT.ORCLE.5Y</v>
      </c>
      <c r="K211" s="9"/>
    </row>
    <row r="212" spans="1:11" x14ac:dyDescent="0.25">
      <c r="A212" s="3">
        <v>46226</v>
      </c>
      <c r="B212" s="2" t="s">
        <v>14</v>
      </c>
      <c r="C212" s="18">
        <f>'Derived 5Y Spreads'!G212</f>
        <v>710</v>
      </c>
      <c r="D212" s="19">
        <f>C212-'Derived 5Y Spreads'!G205</f>
        <v>10</v>
      </c>
      <c r="E212" s="19">
        <f>C212-'Derived 5Y Spreads'!G177</f>
        <v>45</v>
      </c>
      <c r="F212" s="19">
        <f>C212-'Derived 5Y Spreads'!G58</f>
        <v>165.71000000000004</v>
      </c>
      <c r="G212" s="20">
        <f>'Derived 5Y Spreads'!E212</f>
      </c>
      <c r="H212" s="21" t="str">
        <f>'Derived 5Y Spreads'!O212</f>
        <v>stale</v>
      </c>
      <c r="I212" s="22" t="str">
        <f>'Derived 5Y Spreads'!A212</f>
        <v>screenshot-reference-20260824-v1</v>
      </c>
      <c r="J212" s="22" t="str">
        <f>'Derived 5Y Spreads'!D212</f>
        <v>SCREENSHOT.COREWEI.5Y</v>
      </c>
      <c r="K212" s="5"/>
    </row>
    <row r="213" spans="1:11" x14ac:dyDescent="0.25">
      <c r="A213" s="7">
        <v>46226</v>
      </c>
      <c r="B213" s="6" t="s">
        <v>17</v>
      </c>
      <c r="C213" s="23">
        <f>'Derived 5Y Spreads'!G213</f>
        <v>67.25</v>
      </c>
      <c r="D213" s="24">
        <f>C213-'Derived 5Y Spreads'!G206</f>
        <v>2.75</v>
      </c>
      <c r="E213" s="24">
        <f>C213-'Derived 5Y Spreads'!G178</f>
        <v>9.579999999999998</v>
      </c>
      <c r="F213" s="24">
        <f>C213-'Derived 5Y Spreads'!G59</f>
        <v>26.39</v>
      </c>
      <c r="G213" s="25">
        <f>'Derived 5Y Spreads'!E213</f>
      </c>
      <c r="H213" s="21" t="str">
        <f>'Derived 5Y Spreads'!O213</f>
        <v>stale</v>
      </c>
      <c r="I213" s="26" t="str">
        <f>'Derived 5Y Spreads'!A213</f>
        <v>screenshot-reference-20260824-v1</v>
      </c>
      <c r="J213" s="26" t="str">
        <f>'Derived 5Y Spreads'!D213</f>
        <v>SCREENSHOT.NVIDIA.5Y</v>
      </c>
      <c r="K213" s="9"/>
    </row>
    <row r="214" spans="1:11" x14ac:dyDescent="0.25">
      <c r="A214" s="3">
        <v>46226</v>
      </c>
      <c r="B214" s="2" t="s">
        <v>20</v>
      </c>
      <c r="C214" s="18">
        <f>'Derived 5Y Spreads'!G214</f>
        <v>60.6</v>
      </c>
      <c r="D214" s="19">
        <f>C214-'Derived 5Y Spreads'!G207</f>
        <v>1.6000000000000014</v>
      </c>
      <c r="E214" s="19">
        <f>C214-'Derived 5Y Spreads'!G179</f>
        <v>2.8500000000000014</v>
      </c>
      <c r="F214" s="19">
        <f>C214-'Derived 5Y Spreads'!G60</f>
        <v>7.170000000000002</v>
      </c>
      <c r="G214" s="20">
        <f>'Derived 5Y Spreads'!E214</f>
      </c>
      <c r="H214" s="21" t="str">
        <f>'Derived 5Y Spreads'!O214</f>
        <v>stale</v>
      </c>
      <c r="I214" s="22" t="str">
        <f>'Derived 5Y Spreads'!A214</f>
        <v>screenshot-reference-20260824-v1</v>
      </c>
      <c r="J214" s="22" t="str">
        <f>'Derived 5Y Spreads'!D214</f>
        <v>SCREENSHOT.AMZN.5Y</v>
      </c>
      <c r="K214" s="5"/>
    </row>
    <row r="215" spans="1:11" x14ac:dyDescent="0.25">
      <c r="A215" s="7">
        <v>46226</v>
      </c>
      <c r="B215" s="6" t="s">
        <v>23</v>
      </c>
      <c r="C215" s="23">
        <f>'Derived 5Y Spreads'!G215</f>
        <v>62.33</v>
      </c>
      <c r="D215" s="24">
        <f>C215-'Derived 5Y Spreads'!G208</f>
        <v>1.6599999999999966</v>
      </c>
      <c r="E215" s="24">
        <f>C215-'Derived 5Y Spreads'!G180</f>
        <v>4.579999999999998</v>
      </c>
      <c r="F215" s="24">
        <f>C215-'Derived 5Y Spreads'!G61</f>
        <v>10.759999999999998</v>
      </c>
      <c r="G215" s="25">
        <f>'Derived 5Y Spreads'!E215</f>
      </c>
      <c r="H215" s="21" t="str">
        <f>'Derived 5Y Spreads'!O215</f>
        <v>stale</v>
      </c>
      <c r="I215" s="26" t="str">
        <f>'Derived 5Y Spreads'!A215</f>
        <v>screenshot-reference-20260824-v1</v>
      </c>
      <c r="J215" s="26" t="str">
        <f>'Derived 5Y Spreads'!D215</f>
        <v>SCREENSHOT.ALPHINC.5Y</v>
      </c>
      <c r="K215" s="9"/>
    </row>
    <row r="216" spans="1:11" x14ac:dyDescent="0.25">
      <c r="A216" s="3">
        <v>46226</v>
      </c>
      <c r="B216" s="2" t="s">
        <v>26</v>
      </c>
      <c r="C216" s="18">
        <f>'Derived 5Y Spreads'!G216</f>
        <v>48.8</v>
      </c>
      <c r="D216" s="19">
        <f>C216-'Derived 5Y Spreads'!G209</f>
        <v>0.7999999999999972</v>
      </c>
      <c r="E216" s="19">
        <f>C216-'Derived 5Y Spreads'!G181</f>
        <v>1.5499999999999972</v>
      </c>
      <c r="F216" s="19">
        <f>C216-'Derived 5Y Spreads'!G62</f>
        <v>9.089999999999996</v>
      </c>
      <c r="G216" s="20">
        <f>'Derived 5Y Spreads'!E216</f>
      </c>
      <c r="H216" s="21" t="str">
        <f>'Derived 5Y Spreads'!O216</f>
        <v>stale</v>
      </c>
      <c r="I216" s="22" t="str">
        <f>'Derived 5Y Spreads'!A216</f>
        <v>screenshot-reference-20260824-v1</v>
      </c>
      <c r="J216" s="22" t="str">
        <f>'Derived 5Y Spreads'!D216</f>
        <v>SCREENSHOT.MSFT.5Y</v>
      </c>
      <c r="K216" s="5"/>
    </row>
    <row r="217" spans="1:11" x14ac:dyDescent="0.25">
      <c r="A217" s="7">
        <v>46226</v>
      </c>
      <c r="B217" s="6" t="s">
        <v>29</v>
      </c>
      <c r="C217" s="23">
        <f>'Derived 5Y Spreads'!G217</f>
        <v>81.8</v>
      </c>
      <c r="D217" s="24">
        <f>C217-'Derived 5Y Spreads'!G210</f>
        <v>2.799999999999997</v>
      </c>
      <c r="E217" s="24">
        <f>C217-'Derived 5Y Spreads'!G182</f>
        <v>5.049999999999997</v>
      </c>
      <c r="F217" s="24">
        <f>C217-'Derived 5Y Spreads'!G63</f>
        <v>11.090000000000003</v>
      </c>
      <c r="G217" s="25">
        <f>'Derived 5Y Spreads'!E217</f>
      </c>
      <c r="H217" s="21" t="str">
        <f>'Derived 5Y Spreads'!O217</f>
        <v>stale</v>
      </c>
      <c r="I217" s="26" t="str">
        <f>'Derived 5Y Spreads'!A217</f>
        <v>screenshot-reference-20260824-v1</v>
      </c>
      <c r="J217" s="26" t="str">
        <f>'Derived 5Y Spreads'!D217</f>
        <v>SCREENSHOT.METAPL.5Y</v>
      </c>
      <c r="K217" s="9"/>
    </row>
    <row r="218" spans="1:11" x14ac:dyDescent="0.25">
      <c r="A218" s="3">
        <v>46227</v>
      </c>
      <c r="B218" s="2" t="s">
        <v>9</v>
      </c>
      <c r="C218" s="18">
        <f>'Derived 5Y Spreads'!G218</f>
        <v>205</v>
      </c>
      <c r="D218" s="19">
        <f>C218-'Derived 5Y Spreads'!G211</f>
        <v>4.25</v>
      </c>
      <c r="E218" s="19">
        <f>C218-'Derived 5Y Spreads'!G183</f>
        <v>17.430000000000007</v>
      </c>
      <c r="F218" s="19">
        <f>C218-'Derived 5Y Spreads'!G64</f>
        <v>41.860000000000014</v>
      </c>
      <c r="G218" s="20">
        <f>'Derived 5Y Spreads'!E218</f>
      </c>
      <c r="H218" s="21" t="str">
        <f>'Derived 5Y Spreads'!O218</f>
        <v>stale</v>
      </c>
      <c r="I218" s="22" t="str">
        <f>'Derived 5Y Spreads'!A218</f>
        <v>screenshot-reference-20260824-v1</v>
      </c>
      <c r="J218" s="22" t="str">
        <f>'Derived 5Y Spreads'!D218</f>
        <v>SCREENSHOT.ORCLE.5Y</v>
      </c>
      <c r="K218" s="5"/>
    </row>
    <row r="219" spans="1:11" x14ac:dyDescent="0.25">
      <c r="A219" s="7">
        <v>46227</v>
      </c>
      <c r="B219" s="6" t="s">
        <v>14</v>
      </c>
      <c r="C219" s="23">
        <f>'Derived 5Y Spreads'!G219</f>
        <v>720</v>
      </c>
      <c r="D219" s="24">
        <f>C219-'Derived 5Y Spreads'!G212</f>
        <v>10</v>
      </c>
      <c r="E219" s="24">
        <f>C219-'Derived 5Y Spreads'!G184</f>
        <v>40</v>
      </c>
      <c r="F219" s="24">
        <f>C219-'Derived 5Y Spreads'!G65</f>
        <v>165</v>
      </c>
      <c r="G219" s="25">
        <f>'Derived 5Y Spreads'!E219</f>
      </c>
      <c r="H219" s="21" t="str">
        <f>'Derived 5Y Spreads'!O219</f>
        <v>stale</v>
      </c>
      <c r="I219" s="26" t="str">
        <f>'Derived 5Y Spreads'!A219</f>
        <v>screenshot-reference-20260824-v1</v>
      </c>
      <c r="J219" s="26" t="str">
        <f>'Derived 5Y Spreads'!D219</f>
        <v>SCREENSHOT.COREWEI.5Y</v>
      </c>
      <c r="K219" s="9"/>
    </row>
    <row r="220" spans="1:11" x14ac:dyDescent="0.25">
      <c r="A220" s="3">
        <v>46227</v>
      </c>
      <c r="B220" s="2" t="s">
        <v>17</v>
      </c>
      <c r="C220" s="18">
        <f>'Derived 5Y Spreads'!G220</f>
        <v>70</v>
      </c>
      <c r="D220" s="19">
        <f>C220-'Derived 5Y Spreads'!G213</f>
        <v>2.75</v>
      </c>
      <c r="E220" s="19">
        <f>C220-'Derived 5Y Spreads'!G185</f>
        <v>12</v>
      </c>
      <c r="F220" s="19">
        <f>C220-'Derived 5Y Spreads'!G66</f>
        <v>28.29</v>
      </c>
      <c r="G220" s="20">
        <f>'Derived 5Y Spreads'!E220</f>
      </c>
      <c r="H220" s="21" t="str">
        <f>'Derived 5Y Spreads'!O220</f>
        <v>stale</v>
      </c>
      <c r="I220" s="22" t="str">
        <f>'Derived 5Y Spreads'!A220</f>
        <v>screenshot-reference-20260824-v1</v>
      </c>
      <c r="J220" s="22" t="str">
        <f>'Derived 5Y Spreads'!D220</f>
        <v>SCREENSHOT.NVIDIA.5Y</v>
      </c>
      <c r="K220" s="5"/>
    </row>
    <row r="221" spans="1:11" x14ac:dyDescent="0.25">
      <c r="A221" s="7">
        <v>46227</v>
      </c>
      <c r="B221" s="6" t="s">
        <v>20</v>
      </c>
      <c r="C221" s="23">
        <f>'Derived 5Y Spreads'!G221</f>
        <v>62.2</v>
      </c>
      <c r="D221" s="24">
        <f>C221-'Derived 5Y Spreads'!G214</f>
        <v>1.6000000000000014</v>
      </c>
      <c r="E221" s="24">
        <f>C221-'Derived 5Y Spreads'!G186</f>
        <v>5.200000000000003</v>
      </c>
      <c r="F221" s="24">
        <f>C221-'Derived 5Y Spreads'!G67</f>
        <v>8.200000000000003</v>
      </c>
      <c r="G221" s="25">
        <f>'Derived 5Y Spreads'!E221</f>
      </c>
      <c r="H221" s="21" t="str">
        <f>'Derived 5Y Spreads'!O221</f>
        <v>stale</v>
      </c>
      <c r="I221" s="26" t="str">
        <f>'Derived 5Y Spreads'!A221</f>
        <v>screenshot-reference-20260824-v1</v>
      </c>
      <c r="J221" s="26" t="str">
        <f>'Derived 5Y Spreads'!D221</f>
        <v>SCREENSHOT.AMZN.5Y</v>
      </c>
      <c r="K221" s="9"/>
    </row>
    <row r="222" spans="1:11" x14ac:dyDescent="0.25">
      <c r="A222" s="3">
        <v>46227</v>
      </c>
      <c r="B222" s="2" t="s">
        <v>23</v>
      </c>
      <c r="C222" s="18">
        <f>'Derived 5Y Spreads'!G222</f>
        <v>64</v>
      </c>
      <c r="D222" s="19">
        <f>C222-'Derived 5Y Spreads'!G215</f>
        <v>1.6700000000000017</v>
      </c>
      <c r="E222" s="19">
        <f>C222-'Derived 5Y Spreads'!G187</f>
        <v>7</v>
      </c>
      <c r="F222" s="19">
        <f>C222-'Derived 5Y Spreads'!G68</f>
        <v>12</v>
      </c>
      <c r="G222" s="20">
        <f>'Derived 5Y Spreads'!E222</f>
      </c>
      <c r="H222" s="21" t="str">
        <f>'Derived 5Y Spreads'!O222</f>
        <v>stale</v>
      </c>
      <c r="I222" s="22" t="str">
        <f>'Derived 5Y Spreads'!A222</f>
        <v>screenshot-reference-20260824-v1</v>
      </c>
      <c r="J222" s="22" t="str">
        <f>'Derived 5Y Spreads'!D222</f>
        <v>SCREENSHOT.ALPHINC.5Y</v>
      </c>
      <c r="K222" s="5"/>
    </row>
    <row r="223" spans="1:11" x14ac:dyDescent="0.25">
      <c r="A223" s="7">
        <v>46227</v>
      </c>
      <c r="B223" s="6" t="s">
        <v>26</v>
      </c>
      <c r="C223" s="23">
        <f>'Derived 5Y Spreads'!G223</f>
        <v>49.6</v>
      </c>
      <c r="D223" s="24">
        <f>C223-'Derived 5Y Spreads'!G216</f>
        <v>0.8000000000000043</v>
      </c>
      <c r="E223" s="24">
        <f>C223-'Derived 5Y Spreads'!G188</f>
        <v>2.6000000000000014</v>
      </c>
      <c r="F223" s="24">
        <f>C223-'Derived 5Y Spreads'!G69</f>
        <v>9.600000000000001</v>
      </c>
      <c r="G223" s="25">
        <f>'Derived 5Y Spreads'!E223</f>
      </c>
      <c r="H223" s="21" t="str">
        <f>'Derived 5Y Spreads'!O223</f>
        <v>stale</v>
      </c>
      <c r="I223" s="26" t="str">
        <f>'Derived 5Y Spreads'!A223</f>
        <v>screenshot-reference-20260824-v1</v>
      </c>
      <c r="J223" s="26" t="str">
        <f>'Derived 5Y Spreads'!D223</f>
        <v>SCREENSHOT.MSFT.5Y</v>
      </c>
      <c r="K223" s="9"/>
    </row>
    <row r="224" spans="1:11" x14ac:dyDescent="0.25">
      <c r="A224" s="3">
        <v>46227</v>
      </c>
      <c r="B224" s="2" t="s">
        <v>29</v>
      </c>
      <c r="C224" s="18">
        <f>'Derived 5Y Spreads'!G224</f>
        <v>84.6</v>
      </c>
      <c r="D224" s="19">
        <f>C224-'Derived 5Y Spreads'!G217</f>
        <v>2.799999999999997</v>
      </c>
      <c r="E224" s="19">
        <f>C224-'Derived 5Y Spreads'!G189</f>
        <v>8.599999999999994</v>
      </c>
      <c r="F224" s="19">
        <f>C224-'Derived 5Y Spreads'!G70</f>
        <v>13.599999999999994</v>
      </c>
      <c r="G224" s="20">
        <f>'Derived 5Y Spreads'!E224</f>
      </c>
      <c r="H224" s="21" t="str">
        <f>'Derived 5Y Spreads'!O224</f>
        <v>stale</v>
      </c>
      <c r="I224" s="22" t="str">
        <f>'Derived 5Y Spreads'!A224</f>
        <v>screenshot-reference-20260824-v1</v>
      </c>
      <c r="J224" s="22" t="str">
        <f>'Derived 5Y Spreads'!D224</f>
        <v>SCREENSHOT.METAPL.5Y</v>
      </c>
      <c r="K224" s="5"/>
    </row>
    <row r="225" spans="1:11" x14ac:dyDescent="0.25">
      <c r="A225" s="7">
        <v>46230</v>
      </c>
      <c r="B225" s="6" t="s">
        <v>9</v>
      </c>
      <c r="C225" s="23">
        <f>'Derived 5Y Spreads'!G225</f>
        <v>212.2</v>
      </c>
      <c r="D225" s="24">
        <f>C225-'Derived 5Y Spreads'!G218</f>
        <v>7.199999999999989</v>
      </c>
      <c r="E225" s="24">
        <f>C225-'Derived 5Y Spreads'!G190</f>
        <v>24.19999999999999</v>
      </c>
      <c r="F225" s="24">
        <f>C225-'Derived 5Y Spreads'!G78</f>
        <v>45.91</v>
      </c>
      <c r="G225" s="25">
        <f>'Derived 5Y Spreads'!E225</f>
      </c>
      <c r="H225" s="21" t="str">
        <f>'Derived 5Y Spreads'!O225</f>
        <v>stale</v>
      </c>
      <c r="I225" s="26" t="str">
        <f>'Derived 5Y Spreads'!A225</f>
        <v>screenshot-reference-20260824-v1</v>
      </c>
      <c r="J225" s="26" t="str">
        <f>'Derived 5Y Spreads'!D225</f>
        <v>SCREENSHOT.ORCLE.5Y</v>
      </c>
      <c r="K225" s="9"/>
    </row>
    <row r="226" spans="1:11" x14ac:dyDescent="0.25">
      <c r="A226" s="3">
        <v>46230</v>
      </c>
      <c r="B226" s="2" t="s">
        <v>14</v>
      </c>
      <c r="C226" s="18">
        <f>'Derived 5Y Spreads'!G226</f>
        <v>750</v>
      </c>
      <c r="D226" s="19">
        <f>C226-'Derived 5Y Spreads'!G219</f>
        <v>30</v>
      </c>
      <c r="E226" s="19">
        <f>C226-'Derived 5Y Spreads'!G191</f>
        <v>62.5</v>
      </c>
      <c r="F226" s="19">
        <f>C226-'Derived 5Y Spreads'!G79</f>
        <v>197</v>
      </c>
      <c r="G226" s="20">
        <f>'Derived 5Y Spreads'!E226</f>
      </c>
      <c r="H226" s="21" t="str">
        <f>'Derived 5Y Spreads'!O226</f>
        <v>stale</v>
      </c>
      <c r="I226" s="22" t="str">
        <f>'Derived 5Y Spreads'!A226</f>
        <v>screenshot-reference-20260824-v1</v>
      </c>
      <c r="J226" s="22" t="str">
        <f>'Derived 5Y Spreads'!D226</f>
        <v>SCREENSHOT.COREWEI.5Y</v>
      </c>
      <c r="K226" s="5"/>
    </row>
    <row r="227" spans="1:11" x14ac:dyDescent="0.25">
      <c r="A227" s="7">
        <v>46230</v>
      </c>
      <c r="B227" s="6" t="s">
        <v>17</v>
      </c>
      <c r="C227" s="23">
        <f>'Derived 5Y Spreads'!G227</f>
        <v>80</v>
      </c>
      <c r="D227" s="24">
        <f>C227-'Derived 5Y Spreads'!G220</f>
        <v>10</v>
      </c>
      <c r="E227" s="24">
        <f>C227-'Derived 5Y Spreads'!G192</f>
        <v>21</v>
      </c>
      <c r="F227" s="24">
        <f>C227-'Derived 5Y Spreads'!G80</f>
        <v>36.57</v>
      </c>
      <c r="G227" s="25">
        <f>'Derived 5Y Spreads'!E227</f>
      </c>
      <c r="H227" s="21" t="str">
        <f>'Derived 5Y Spreads'!O227</f>
        <v>stale</v>
      </c>
      <c r="I227" s="26" t="str">
        <f>'Derived 5Y Spreads'!A227</f>
        <v>screenshot-reference-20260824-v1</v>
      </c>
      <c r="J227" s="26" t="str">
        <f>'Derived 5Y Spreads'!D227</f>
        <v>SCREENSHOT.NVIDIA.5Y</v>
      </c>
      <c r="K227" s="9"/>
    </row>
    <row r="228" spans="1:11" x14ac:dyDescent="0.25">
      <c r="A228" s="3">
        <v>46230</v>
      </c>
      <c r="B228" s="2" t="s">
        <v>20</v>
      </c>
      <c r="C228" s="18">
        <f>'Derived 5Y Spreads'!G228</f>
        <v>67</v>
      </c>
      <c r="D228" s="19">
        <f>C228-'Derived 5Y Spreads'!G221</f>
        <v>4.799999999999997</v>
      </c>
      <c r="E228" s="19">
        <f>C228-'Derived 5Y Spreads'!G193</f>
        <v>8.799999999999997</v>
      </c>
      <c r="F228" s="19">
        <f>C228-'Derived 5Y Spreads'!G81</f>
        <v>12.75</v>
      </c>
      <c r="G228" s="20">
        <f>'Derived 5Y Spreads'!E228</f>
      </c>
      <c r="H228" s="21" t="str">
        <f>'Derived 5Y Spreads'!O228</f>
        <v>stale</v>
      </c>
      <c r="I228" s="22" t="str">
        <f>'Derived 5Y Spreads'!A228</f>
        <v>screenshot-reference-20260824-v1</v>
      </c>
      <c r="J228" s="22" t="str">
        <f>'Derived 5Y Spreads'!D228</f>
        <v>SCREENSHOT.AMZN.5Y</v>
      </c>
      <c r="K228" s="5"/>
    </row>
    <row r="229" spans="1:11" x14ac:dyDescent="0.25">
      <c r="A229" s="7">
        <v>46230</v>
      </c>
      <c r="B229" s="6" t="s">
        <v>23</v>
      </c>
      <c r="C229" s="23">
        <f>'Derived 5Y Spreads'!G229</f>
        <v>65.8</v>
      </c>
      <c r="D229" s="24">
        <f>C229-'Derived 5Y Spreads'!G222</f>
        <v>1.7999999999999972</v>
      </c>
      <c r="E229" s="24">
        <f>C229-'Derived 5Y Spreads'!G194</f>
        <v>7.299999999999997</v>
      </c>
      <c r="F229" s="24">
        <f>C229-'Derived 5Y Spreads'!G82</f>
        <v>13.229999999999997</v>
      </c>
      <c r="G229" s="25">
        <f>'Derived 5Y Spreads'!E229</f>
      </c>
      <c r="H229" s="21" t="str">
        <f>'Derived 5Y Spreads'!O229</f>
        <v>stale</v>
      </c>
      <c r="I229" s="26" t="str">
        <f>'Derived 5Y Spreads'!A229</f>
        <v>screenshot-reference-20260824-v1</v>
      </c>
      <c r="J229" s="26" t="str">
        <f>'Derived 5Y Spreads'!D229</f>
        <v>SCREENSHOT.ALPHINC.5Y</v>
      </c>
      <c r="K229" s="9"/>
    </row>
    <row r="230" spans="1:11" x14ac:dyDescent="0.25">
      <c r="A230" s="3">
        <v>46230</v>
      </c>
      <c r="B230" s="2" t="s">
        <v>26</v>
      </c>
      <c r="C230" s="18">
        <f>'Derived 5Y Spreads'!G230</f>
        <v>52</v>
      </c>
      <c r="D230" s="19">
        <f>C230-'Derived 5Y Spreads'!G223</f>
        <v>2.3999999999999986</v>
      </c>
      <c r="E230" s="19">
        <f>C230-'Derived 5Y Spreads'!G195</f>
        <v>4.399999999999999</v>
      </c>
      <c r="F230" s="19">
        <f>C230-'Derived 5Y Spreads'!G83</f>
        <v>11.200000000000003</v>
      </c>
      <c r="G230" s="20">
        <f>'Derived 5Y Spreads'!E230</f>
      </c>
      <c r="H230" s="21" t="str">
        <f>'Derived 5Y Spreads'!O230</f>
        <v>stale</v>
      </c>
      <c r="I230" s="22" t="str">
        <f>'Derived 5Y Spreads'!A230</f>
        <v>screenshot-reference-20260824-v1</v>
      </c>
      <c r="J230" s="22" t="str">
        <f>'Derived 5Y Spreads'!D230</f>
        <v>SCREENSHOT.MSFT.5Y</v>
      </c>
      <c r="K230" s="5"/>
    </row>
    <row r="231" spans="1:11" x14ac:dyDescent="0.25">
      <c r="A231" s="7">
        <v>46230</v>
      </c>
      <c r="B231" s="6" t="s">
        <v>29</v>
      </c>
      <c r="C231" s="23">
        <f>'Derived 5Y Spreads'!G231</f>
        <v>93</v>
      </c>
      <c r="D231" s="24">
        <f>C231-'Derived 5Y Spreads'!G224</f>
        <v>8.400000000000006</v>
      </c>
      <c r="E231" s="24">
        <f>C231-'Derived 5Y Spreads'!G196</f>
        <v>15.200000000000003</v>
      </c>
      <c r="F231" s="24">
        <f>C231-'Derived 5Y Spreads'!G84</f>
        <v>22.75</v>
      </c>
      <c r="G231" s="25">
        <f>'Derived 5Y Spreads'!E231</f>
      </c>
      <c r="H231" s="21" t="str">
        <f>'Derived 5Y Spreads'!O231</f>
        <v>stale</v>
      </c>
      <c r="I231" s="26" t="str">
        <f>'Derived 5Y Spreads'!A231</f>
        <v>screenshot-reference-20260824-v1</v>
      </c>
      <c r="J231" s="26" t="str">
        <f>'Derived 5Y Spreads'!D231</f>
        <v>SCREENSHOT.METAPL.5Y</v>
      </c>
      <c r="K231" s="9"/>
    </row>
    <row r="232" spans="1:11" x14ac:dyDescent="0.25">
      <c r="A232" s="3">
        <v>46231</v>
      </c>
      <c r="B232" s="2" t="s">
        <v>9</v>
      </c>
      <c r="C232" s="18">
        <f>'Derived 5Y Spreads'!G232</f>
        <v>214.6</v>
      </c>
      <c r="D232" s="19">
        <f>C232-'Derived 5Y Spreads'!G225</f>
        <v>2.4000000000000057</v>
      </c>
      <c r="E232" s="19">
        <f>C232-'Derived 5Y Spreads'!G197</f>
        <v>22.349999999999994</v>
      </c>
      <c r="F232" s="19">
        <f>C232-'Derived 5Y Spreads'!G78</f>
        <v>48.31</v>
      </c>
      <c r="G232" s="20">
        <f>'Derived 5Y Spreads'!E232</f>
      </c>
      <c r="H232" s="21" t="str">
        <f>'Derived 5Y Spreads'!O232</f>
        <v>stale</v>
      </c>
      <c r="I232" s="22" t="str">
        <f>'Derived 5Y Spreads'!A232</f>
        <v>screenshot-reference-20260824-v1</v>
      </c>
      <c r="J232" s="22" t="str">
        <f>'Derived 5Y Spreads'!D232</f>
        <v>SCREENSHOT.ORCLE.5Y</v>
      </c>
      <c r="K232" s="5"/>
    </row>
    <row r="233" spans="1:11" x14ac:dyDescent="0.25">
      <c r="A233" s="7">
        <v>46231</v>
      </c>
      <c r="B233" s="6" t="s">
        <v>14</v>
      </c>
      <c r="C233" s="23">
        <f>'Derived 5Y Spreads'!G233</f>
        <v>816.67</v>
      </c>
      <c r="D233" s="24">
        <f>C233-'Derived 5Y Spreads'!G226</f>
        <v>66.66999999999996</v>
      </c>
      <c r="E233" s="24">
        <f>C233-'Derived 5Y Spreads'!G198</f>
        <v>126.66999999999996</v>
      </c>
      <c r="F233" s="24">
        <f>C233-'Derived 5Y Spreads'!G79</f>
        <v>263.66999999999996</v>
      </c>
      <c r="G233" s="25">
        <f>'Derived 5Y Spreads'!E233</f>
      </c>
      <c r="H233" s="21" t="str">
        <f>'Derived 5Y Spreads'!O233</f>
        <v>stale</v>
      </c>
      <c r="I233" s="26" t="str">
        <f>'Derived 5Y Spreads'!A233</f>
        <v>screenshot-reference-20260824-v1</v>
      </c>
      <c r="J233" s="26" t="str">
        <f>'Derived 5Y Spreads'!D233</f>
        <v>SCREENSHOT.COREWEI.5Y</v>
      </c>
      <c r="K233" s="9"/>
    </row>
    <row r="234" spans="1:11" x14ac:dyDescent="0.25">
      <c r="A234" s="3">
        <v>46231</v>
      </c>
      <c r="B234" s="2" t="s">
        <v>17</v>
      </c>
      <c r="C234" s="18">
        <f>'Derived 5Y Spreads'!G234</f>
        <v>80.67</v>
      </c>
      <c r="D234" s="19">
        <f>C234-'Derived 5Y Spreads'!G227</f>
        <v>0.6700000000000017</v>
      </c>
      <c r="E234" s="19">
        <f>C234-'Derived 5Y Spreads'!G199</f>
        <v>18.92</v>
      </c>
      <c r="F234" s="19">
        <f>C234-'Derived 5Y Spreads'!G80</f>
        <v>37.24</v>
      </c>
      <c r="G234" s="20">
        <f>'Derived 5Y Spreads'!E234</f>
      </c>
      <c r="H234" s="21" t="str">
        <f>'Derived 5Y Spreads'!O234</f>
        <v>stale</v>
      </c>
      <c r="I234" s="22" t="str">
        <f>'Derived 5Y Spreads'!A234</f>
        <v>screenshot-reference-20260824-v1</v>
      </c>
      <c r="J234" s="22" t="str">
        <f>'Derived 5Y Spreads'!D234</f>
        <v>SCREENSHOT.NVIDIA.5Y</v>
      </c>
      <c r="K234" s="5"/>
    </row>
    <row r="235" spans="1:11" x14ac:dyDescent="0.25">
      <c r="A235" s="7">
        <v>46231</v>
      </c>
      <c r="B235" s="6" t="s">
        <v>20</v>
      </c>
      <c r="C235" s="23">
        <f>'Derived 5Y Spreads'!G235</f>
        <v>67.67</v>
      </c>
      <c r="D235" s="24">
        <f>C235-'Derived 5Y Spreads'!G228</f>
        <v>0.6700000000000017</v>
      </c>
      <c r="E235" s="24">
        <f>C235-'Derived 5Y Spreads'!G200</f>
        <v>9.07</v>
      </c>
      <c r="F235" s="24">
        <f>C235-'Derived 5Y Spreads'!G81</f>
        <v>13.420000000000002</v>
      </c>
      <c r="G235" s="25">
        <f>'Derived 5Y Spreads'!E235</f>
      </c>
      <c r="H235" s="21" t="str">
        <f>'Derived 5Y Spreads'!O235</f>
        <v>stale</v>
      </c>
      <c r="I235" s="26" t="str">
        <f>'Derived 5Y Spreads'!A235</f>
        <v>screenshot-reference-20260824-v1</v>
      </c>
      <c r="J235" s="26" t="str">
        <f>'Derived 5Y Spreads'!D235</f>
        <v>SCREENSHOT.AMZN.5Y</v>
      </c>
      <c r="K235" s="9"/>
    </row>
    <row r="236" spans="1:11" x14ac:dyDescent="0.25">
      <c r="A236" s="3">
        <v>46231</v>
      </c>
      <c r="B236" s="2" t="s">
        <v>23</v>
      </c>
      <c r="C236" s="18">
        <f>'Derived 5Y Spreads'!G236</f>
        <v>66.4</v>
      </c>
      <c r="D236" s="19">
        <f>C236-'Derived 5Y Spreads'!G229</f>
        <v>0.6000000000000085</v>
      </c>
      <c r="E236" s="19">
        <f>C236-'Derived 5Y Spreads'!G201</f>
        <v>7.400000000000006</v>
      </c>
      <c r="F236" s="19">
        <f>C236-'Derived 5Y Spreads'!G82</f>
        <v>13.830000000000005</v>
      </c>
      <c r="G236" s="20">
        <f>'Derived 5Y Spreads'!E236</f>
      </c>
      <c r="H236" s="21" t="str">
        <f>'Derived 5Y Spreads'!O236</f>
        <v>stale</v>
      </c>
      <c r="I236" s="22" t="str">
        <f>'Derived 5Y Spreads'!A236</f>
        <v>screenshot-reference-20260824-v1</v>
      </c>
      <c r="J236" s="22" t="str">
        <f>'Derived 5Y Spreads'!D236</f>
        <v>SCREENSHOT.ALPHINC.5Y</v>
      </c>
      <c r="K236" s="5"/>
    </row>
    <row r="237" spans="1:11" x14ac:dyDescent="0.25">
      <c r="A237" s="7">
        <v>46231</v>
      </c>
      <c r="B237" s="6" t="s">
        <v>26</v>
      </c>
      <c r="C237" s="23">
        <f>'Derived 5Y Spreads'!G237</f>
        <v>53</v>
      </c>
      <c r="D237" s="24">
        <f>C237-'Derived 5Y Spreads'!G230</f>
        <v>1</v>
      </c>
      <c r="E237" s="24">
        <f>C237-'Derived 5Y Spreads'!G202</f>
        <v>5.200000000000003</v>
      </c>
      <c r="F237" s="24">
        <f>C237-'Derived 5Y Spreads'!G83</f>
        <v>12.200000000000003</v>
      </c>
      <c r="G237" s="25">
        <f>'Derived 5Y Spreads'!E237</f>
      </c>
      <c r="H237" s="21" t="str">
        <f>'Derived 5Y Spreads'!O237</f>
        <v>stale</v>
      </c>
      <c r="I237" s="26" t="str">
        <f>'Derived 5Y Spreads'!A237</f>
        <v>screenshot-reference-20260824-v1</v>
      </c>
      <c r="J237" s="26" t="str">
        <f>'Derived 5Y Spreads'!D237</f>
        <v>SCREENSHOT.MSFT.5Y</v>
      </c>
      <c r="K237" s="9"/>
    </row>
    <row r="238" spans="1:11" x14ac:dyDescent="0.25">
      <c r="A238" s="3">
        <v>46231</v>
      </c>
      <c r="B238" s="2" t="s">
        <v>29</v>
      </c>
      <c r="C238" s="18">
        <f>'Derived 5Y Spreads'!G238</f>
        <v>94.67</v>
      </c>
      <c r="D238" s="19">
        <f>C238-'Derived 5Y Spreads'!G231</f>
        <v>1.6700000000000017</v>
      </c>
      <c r="E238" s="19">
        <f>C238-'Derived 5Y Spreads'!G203</f>
        <v>16.269999999999996</v>
      </c>
      <c r="F238" s="19">
        <f>C238-'Derived 5Y Spreads'!G84</f>
        <v>24.42</v>
      </c>
      <c r="G238" s="20">
        <f>'Derived 5Y Spreads'!E238</f>
      </c>
      <c r="H238" s="21" t="str">
        <f>'Derived 5Y Spreads'!O238</f>
        <v>stale</v>
      </c>
      <c r="I238" s="22" t="str">
        <f>'Derived 5Y Spreads'!A238</f>
        <v>screenshot-reference-20260824-v1</v>
      </c>
      <c r="J238" s="22" t="str">
        <f>'Derived 5Y Spreads'!D238</f>
        <v>SCREENSHOT.METAPL.5Y</v>
      </c>
      <c r="K238" s="5"/>
    </row>
    <row r="239" spans="1:11" x14ac:dyDescent="0.25">
      <c r="A239" s="7">
        <v>46232</v>
      </c>
      <c r="B239" s="6" t="s">
        <v>9</v>
      </c>
      <c r="C239" s="23">
        <f>'Derived 5Y Spreads'!G239</f>
        <v>217</v>
      </c>
      <c r="D239" s="24">
        <f>C239-'Derived 5Y Spreads'!G232</f>
        <v>2.4000000000000057</v>
      </c>
      <c r="E239" s="24">
        <f>C239-'Derived 5Y Spreads'!G204</f>
        <v>20.5</v>
      </c>
      <c r="F239" s="24">
        <f>C239-'Derived 5Y Spreads'!G85</f>
        <v>46</v>
      </c>
      <c r="G239" s="25">
        <f>'Derived 5Y Spreads'!E239</f>
      </c>
      <c r="H239" s="21" t="str">
        <f>'Derived 5Y Spreads'!O239</f>
        <v>stale</v>
      </c>
      <c r="I239" s="26" t="str">
        <f>'Derived 5Y Spreads'!A239</f>
        <v>screenshot-reference-20260824-v1</v>
      </c>
      <c r="J239" s="26" t="str">
        <f>'Derived 5Y Spreads'!D239</f>
        <v>SCREENSHOT.ORCLE.5Y</v>
      </c>
      <c r="K239" s="9"/>
    </row>
    <row r="240" spans="1:11" x14ac:dyDescent="0.25">
      <c r="A240" s="3">
        <v>46232</v>
      </c>
      <c r="B240" s="2" t="s">
        <v>14</v>
      </c>
      <c r="C240" s="18">
        <f>'Derived 5Y Spreads'!G240</f>
        <v>883.33</v>
      </c>
      <c r="D240" s="19">
        <f>C240-'Derived 5Y Spreads'!G233</f>
        <v>66.66000000000008</v>
      </c>
      <c r="E240" s="19">
        <f>C240-'Derived 5Y Spreads'!G205</f>
        <v>183.33000000000004</v>
      </c>
      <c r="F240" s="19">
        <f>C240-'Derived 5Y Spreads'!G86</f>
        <v>333.33000000000004</v>
      </c>
      <c r="G240" s="20">
        <f>'Derived 5Y Spreads'!E240</f>
      </c>
      <c r="H240" s="21" t="str">
        <f>'Derived 5Y Spreads'!O240</f>
        <v>stale</v>
      </c>
      <c r="I240" s="22" t="str">
        <f>'Derived 5Y Spreads'!A240</f>
        <v>screenshot-reference-20260824-v1</v>
      </c>
      <c r="J240" s="22" t="str">
        <f>'Derived 5Y Spreads'!D240</f>
        <v>SCREENSHOT.COREWEI.5Y</v>
      </c>
      <c r="K240" s="5"/>
    </row>
    <row r="241" spans="1:11" x14ac:dyDescent="0.25">
      <c r="A241" s="7">
        <v>46232</v>
      </c>
      <c r="B241" s="6" t="s">
        <v>17</v>
      </c>
      <c r="C241" s="23">
        <f>'Derived 5Y Spreads'!G241</f>
        <v>81.33</v>
      </c>
      <c r="D241" s="24">
        <f>C241-'Derived 5Y Spreads'!G234</f>
        <v>0.6599999999999966</v>
      </c>
      <c r="E241" s="24">
        <f>C241-'Derived 5Y Spreads'!G206</f>
        <v>16.83</v>
      </c>
      <c r="F241" s="24">
        <f>C241-'Derived 5Y Spreads'!G87</f>
        <v>35.33</v>
      </c>
      <c r="G241" s="25">
        <f>'Derived 5Y Spreads'!E241</f>
      </c>
      <c r="H241" s="21" t="str">
        <f>'Derived 5Y Spreads'!O241</f>
        <v>stale</v>
      </c>
      <c r="I241" s="26" t="str">
        <f>'Derived 5Y Spreads'!A241</f>
        <v>screenshot-reference-20260824-v1</v>
      </c>
      <c r="J241" s="26" t="str">
        <f>'Derived 5Y Spreads'!D241</f>
        <v>SCREENSHOT.NVIDIA.5Y</v>
      </c>
      <c r="K241" s="9"/>
    </row>
    <row r="242" spans="1:11" x14ac:dyDescent="0.25">
      <c r="A242" s="3">
        <v>46232</v>
      </c>
      <c r="B242" s="2" t="s">
        <v>20</v>
      </c>
      <c r="C242" s="18">
        <f>'Derived 5Y Spreads'!G242</f>
        <v>68.33</v>
      </c>
      <c r="D242" s="19">
        <f>C242-'Derived 5Y Spreads'!G235</f>
        <v>0.6599999999999966</v>
      </c>
      <c r="E242" s="19">
        <f>C242-'Derived 5Y Spreads'!G207</f>
        <v>9.329999999999998</v>
      </c>
      <c r="F242" s="19">
        <f>C242-'Derived 5Y Spreads'!G88</f>
        <v>13.699999999999996</v>
      </c>
      <c r="G242" s="20">
        <f>'Derived 5Y Spreads'!E242</f>
      </c>
      <c r="H242" s="21" t="str">
        <f>'Derived 5Y Spreads'!O242</f>
        <v>stale</v>
      </c>
      <c r="I242" s="22" t="str">
        <f>'Derived 5Y Spreads'!A242</f>
        <v>screenshot-reference-20260824-v1</v>
      </c>
      <c r="J242" s="22" t="str">
        <f>'Derived 5Y Spreads'!D242</f>
        <v>SCREENSHOT.AMZN.5Y</v>
      </c>
      <c r="K242" s="5"/>
    </row>
    <row r="243" spans="1:11" x14ac:dyDescent="0.25">
      <c r="A243" s="7">
        <v>46232</v>
      </c>
      <c r="B243" s="6" t="s">
        <v>23</v>
      </c>
      <c r="C243" s="23">
        <f>'Derived 5Y Spreads'!G243</f>
        <v>67</v>
      </c>
      <c r="D243" s="24">
        <f>C243-'Derived 5Y Spreads'!G236</f>
        <v>0.5999999999999943</v>
      </c>
      <c r="E243" s="24">
        <f>C243-'Derived 5Y Spreads'!G208</f>
        <v>6.329999999999998</v>
      </c>
      <c r="F243" s="24">
        <f>C243-'Derived 5Y Spreads'!G89</f>
        <v>13.57</v>
      </c>
      <c r="G243" s="25">
        <f>'Derived 5Y Spreads'!E243</f>
      </c>
      <c r="H243" s="21" t="str">
        <f>'Derived 5Y Spreads'!O243</f>
        <v>stale</v>
      </c>
      <c r="I243" s="26" t="str">
        <f>'Derived 5Y Spreads'!A243</f>
        <v>screenshot-reference-20260824-v1</v>
      </c>
      <c r="J243" s="26" t="str">
        <f>'Derived 5Y Spreads'!D243</f>
        <v>SCREENSHOT.ALPHINC.5Y</v>
      </c>
      <c r="K243" s="9"/>
    </row>
    <row r="244" spans="1:11" x14ac:dyDescent="0.25">
      <c r="A244" s="3">
        <v>46232</v>
      </c>
      <c r="B244" s="2" t="s">
        <v>26</v>
      </c>
      <c r="C244" s="18">
        <f>'Derived 5Y Spreads'!G244</f>
        <v>54</v>
      </c>
      <c r="D244" s="19">
        <f>C244-'Derived 5Y Spreads'!G237</f>
        <v>1</v>
      </c>
      <c r="E244" s="19">
        <f>C244-'Derived 5Y Spreads'!G209</f>
        <v>6</v>
      </c>
      <c r="F244" s="19">
        <f>C244-'Derived 5Y Spreads'!G90</f>
        <v>12</v>
      </c>
      <c r="G244" s="20">
        <f>'Derived 5Y Spreads'!E244</f>
      </c>
      <c r="H244" s="21" t="str">
        <f>'Derived 5Y Spreads'!O244</f>
        <v>stale</v>
      </c>
      <c r="I244" s="22" t="str">
        <f>'Derived 5Y Spreads'!A244</f>
        <v>screenshot-reference-20260824-v1</v>
      </c>
      <c r="J244" s="22" t="str">
        <f>'Derived 5Y Spreads'!D244</f>
        <v>SCREENSHOT.MSFT.5Y</v>
      </c>
      <c r="K244" s="5"/>
    </row>
    <row r="245" spans="1:11" x14ac:dyDescent="0.25">
      <c r="A245" s="7">
        <v>46232</v>
      </c>
      <c r="B245" s="6" t="s">
        <v>29</v>
      </c>
      <c r="C245" s="23">
        <f>'Derived 5Y Spreads'!G245</f>
        <v>96.33</v>
      </c>
      <c r="D245" s="24">
        <f>C245-'Derived 5Y Spreads'!G238</f>
        <v>1.6599999999999966</v>
      </c>
      <c r="E245" s="24">
        <f>C245-'Derived 5Y Spreads'!G210</f>
        <v>17.33</v>
      </c>
      <c r="F245" s="24">
        <f>C245-'Derived 5Y Spreads'!G91</f>
        <v>27.200000000000003</v>
      </c>
      <c r="G245" s="25">
        <f>'Derived 5Y Spreads'!E245</f>
      </c>
      <c r="H245" s="21" t="str">
        <f>'Derived 5Y Spreads'!O245</f>
        <v>stale</v>
      </c>
      <c r="I245" s="26" t="str">
        <f>'Derived 5Y Spreads'!A245</f>
        <v>screenshot-reference-20260824-v1</v>
      </c>
      <c r="J245" s="26" t="str">
        <f>'Derived 5Y Spreads'!D245</f>
        <v>SCREENSHOT.METAPL.5Y</v>
      </c>
      <c r="K245" s="9"/>
    </row>
    <row r="246" spans="1:11" x14ac:dyDescent="0.25">
      <c r="A246" s="3">
        <v>46233</v>
      </c>
      <c r="B246" s="2" t="s">
        <v>9</v>
      </c>
      <c r="C246" s="18">
        <f>'Derived 5Y Spreads'!G246</f>
        <v>213.8</v>
      </c>
      <c r="D246" s="19">
        <f>C246-'Derived 5Y Spreads'!G239</f>
        <v>-3.1999999999999886</v>
      </c>
      <c r="E246" s="19">
        <f>C246-'Derived 5Y Spreads'!G211</f>
        <v>13.050000000000011</v>
      </c>
      <c r="F246" s="19">
        <f>C246-'Derived 5Y Spreads'!G92</f>
        <v>43.09</v>
      </c>
      <c r="G246" s="20">
        <f>'Derived 5Y Spreads'!E246</f>
      </c>
      <c r="H246" s="21" t="str">
        <f>'Derived 5Y Spreads'!O246</f>
        <v>stale</v>
      </c>
      <c r="I246" s="22" t="str">
        <f>'Derived 5Y Spreads'!A246</f>
        <v>screenshot-reference-20260824-v1</v>
      </c>
      <c r="J246" s="22" t="str">
        <f>'Derived 5Y Spreads'!D246</f>
        <v>SCREENSHOT.ORCLE.5Y</v>
      </c>
      <c r="K246" s="5"/>
    </row>
    <row r="247" spans="1:11" x14ac:dyDescent="0.25">
      <c r="A247" s="7">
        <v>46233</v>
      </c>
      <c r="B247" s="6" t="s">
        <v>14</v>
      </c>
      <c r="C247" s="23">
        <f>'Derived 5Y Spreads'!G247</f>
        <v>950</v>
      </c>
      <c r="D247" s="24">
        <f>C247-'Derived 5Y Spreads'!G240</f>
        <v>66.66999999999996</v>
      </c>
      <c r="E247" s="24">
        <f>C247-'Derived 5Y Spreads'!G212</f>
        <v>240</v>
      </c>
      <c r="F247" s="24">
        <f>C247-'Derived 5Y Spreads'!G93</f>
        <v>388.33000000000004</v>
      </c>
      <c r="G247" s="25">
        <f>'Derived 5Y Spreads'!E247</f>
      </c>
      <c r="H247" s="21" t="str">
        <f>'Derived 5Y Spreads'!O247</f>
        <v>stale</v>
      </c>
      <c r="I247" s="26" t="str">
        <f>'Derived 5Y Spreads'!A247</f>
        <v>screenshot-reference-20260824-v1</v>
      </c>
      <c r="J247" s="26" t="str">
        <f>'Derived 5Y Spreads'!D247</f>
        <v>SCREENSHOT.COREWEI.5Y</v>
      </c>
      <c r="K247" s="9"/>
    </row>
    <row r="248" spans="1:11" x14ac:dyDescent="0.25">
      <c r="A248" s="3">
        <v>46233</v>
      </c>
      <c r="B248" s="2" t="s">
        <v>17</v>
      </c>
      <c r="C248" s="18">
        <f>'Derived 5Y Spreads'!G248</f>
        <v>82</v>
      </c>
      <c r="D248" s="19">
        <f>C248-'Derived 5Y Spreads'!G241</f>
        <v>0.6700000000000017</v>
      </c>
      <c r="E248" s="19">
        <f>C248-'Derived 5Y Spreads'!G213</f>
        <v>14.75</v>
      </c>
      <c r="F248" s="19">
        <f>C248-'Derived 5Y Spreads'!G94</f>
        <v>36.11</v>
      </c>
      <c r="G248" s="20">
        <f>'Derived 5Y Spreads'!E248</f>
      </c>
      <c r="H248" s="21" t="str">
        <f>'Derived 5Y Spreads'!O248</f>
        <v>stale</v>
      </c>
      <c r="I248" s="22" t="str">
        <f>'Derived 5Y Spreads'!A248</f>
        <v>screenshot-reference-20260824-v1</v>
      </c>
      <c r="J248" s="22" t="str">
        <f>'Derived 5Y Spreads'!D248</f>
        <v>SCREENSHOT.NVIDIA.5Y</v>
      </c>
      <c r="K248" s="5"/>
    </row>
    <row r="249" spans="1:11" x14ac:dyDescent="0.25">
      <c r="A249" s="7">
        <v>46233</v>
      </c>
      <c r="B249" s="6" t="s">
        <v>20</v>
      </c>
      <c r="C249" s="23">
        <f>'Derived 5Y Spreads'!G249</f>
        <v>69</v>
      </c>
      <c r="D249" s="24">
        <f>C249-'Derived 5Y Spreads'!G242</f>
        <v>0.6700000000000017</v>
      </c>
      <c r="E249" s="24">
        <f>C249-'Derived 5Y Spreads'!G214</f>
        <v>8.399999999999999</v>
      </c>
      <c r="F249" s="24">
        <f>C249-'Derived 5Y Spreads'!G95</f>
        <v>14.25</v>
      </c>
      <c r="G249" s="25">
        <f>'Derived 5Y Spreads'!E249</f>
      </c>
      <c r="H249" s="21" t="str">
        <f>'Derived 5Y Spreads'!O249</f>
        <v>stale</v>
      </c>
      <c r="I249" s="26" t="str">
        <f>'Derived 5Y Spreads'!A249</f>
        <v>screenshot-reference-20260824-v1</v>
      </c>
      <c r="J249" s="26" t="str">
        <f>'Derived 5Y Spreads'!D249</f>
        <v>SCREENSHOT.AMZN.5Y</v>
      </c>
      <c r="K249" s="9"/>
    </row>
    <row r="250" spans="1:11" x14ac:dyDescent="0.25">
      <c r="A250" s="3">
        <v>46233</v>
      </c>
      <c r="B250" s="2" t="s">
        <v>23</v>
      </c>
      <c r="C250" s="18">
        <f>'Derived 5Y Spreads'!G250</f>
        <v>64.8</v>
      </c>
      <c r="D250" s="19">
        <f>C250-'Derived 5Y Spreads'!G243</f>
        <v>-2.200000000000003</v>
      </c>
      <c r="E250" s="19">
        <f>C250-'Derived 5Y Spreads'!G215</f>
        <v>2.469999999999999</v>
      </c>
      <c r="F250" s="19">
        <f>C250-'Derived 5Y Spreads'!G96</f>
        <v>11.089999999999996</v>
      </c>
      <c r="G250" s="20">
        <f>'Derived 5Y Spreads'!E250</f>
      </c>
      <c r="H250" s="21" t="str">
        <f>'Derived 5Y Spreads'!O250</f>
        <v>stale</v>
      </c>
      <c r="I250" s="22" t="str">
        <f>'Derived 5Y Spreads'!A250</f>
        <v>screenshot-reference-20260824-v1</v>
      </c>
      <c r="J250" s="22" t="str">
        <f>'Derived 5Y Spreads'!D250</f>
        <v>SCREENSHOT.ALPHINC.5Y</v>
      </c>
      <c r="K250" s="5"/>
    </row>
    <row r="251" spans="1:11" x14ac:dyDescent="0.25">
      <c r="A251" s="7">
        <v>46233</v>
      </c>
      <c r="B251" s="6" t="s">
        <v>26</v>
      </c>
      <c r="C251" s="23">
        <f>'Derived 5Y Spreads'!G251</f>
        <v>55</v>
      </c>
      <c r="D251" s="24">
        <f>C251-'Derived 5Y Spreads'!G244</f>
        <v>1</v>
      </c>
      <c r="E251" s="24">
        <f>C251-'Derived 5Y Spreads'!G216</f>
        <v>6.200000000000003</v>
      </c>
      <c r="F251" s="24">
        <f>C251-'Derived 5Y Spreads'!G97</f>
        <v>13.14</v>
      </c>
      <c r="G251" s="25">
        <f>'Derived 5Y Spreads'!E251</f>
      </c>
      <c r="H251" s="21" t="str">
        <f>'Derived 5Y Spreads'!O251</f>
        <v>stale</v>
      </c>
      <c r="I251" s="26" t="str">
        <f>'Derived 5Y Spreads'!A251</f>
        <v>screenshot-reference-20260824-v1</v>
      </c>
      <c r="J251" s="26" t="str">
        <f>'Derived 5Y Spreads'!D251</f>
        <v>SCREENSHOT.MSFT.5Y</v>
      </c>
      <c r="K251" s="9"/>
    </row>
    <row r="252" spans="1:11" x14ac:dyDescent="0.25">
      <c r="A252" s="3">
        <v>46233</v>
      </c>
      <c r="B252" s="2" t="s">
        <v>29</v>
      </c>
      <c r="C252" s="18">
        <f>'Derived 5Y Spreads'!G252</f>
        <v>98</v>
      </c>
      <c r="D252" s="19">
        <f>C252-'Derived 5Y Spreads'!G245</f>
        <v>1.6700000000000017</v>
      </c>
      <c r="E252" s="19">
        <f>C252-'Derived 5Y Spreads'!G217</f>
        <v>16.200000000000003</v>
      </c>
      <c r="F252" s="19">
        <f>C252-'Derived 5Y Spreads'!G98</f>
        <v>29.25</v>
      </c>
      <c r="G252" s="20">
        <f>'Derived 5Y Spreads'!E252</f>
      </c>
      <c r="H252" s="21" t="str">
        <f>'Derived 5Y Spreads'!O252</f>
        <v>stale</v>
      </c>
      <c r="I252" s="22" t="str">
        <f>'Derived 5Y Spreads'!A252</f>
        <v>screenshot-reference-20260824-v1</v>
      </c>
      <c r="J252" s="22" t="str">
        <f>'Derived 5Y Spreads'!D252</f>
        <v>SCREENSHOT.METAPL.5Y</v>
      </c>
      <c r="K252" s="5"/>
    </row>
    <row r="253" spans="1:11" x14ac:dyDescent="0.25">
      <c r="A253" s="7">
        <v>46234</v>
      </c>
      <c r="B253" s="6" t="s">
        <v>9</v>
      </c>
      <c r="C253" s="23">
        <f>'Derived 5Y Spreads'!G253</f>
        <v>210.6</v>
      </c>
      <c r="D253" s="24">
        <f>C253-'Derived 5Y Spreads'!G246</f>
        <v>-3.200000000000017</v>
      </c>
      <c r="E253" s="24">
        <f>C253-'Derived 5Y Spreads'!G218</f>
        <v>5.599999999999994</v>
      </c>
      <c r="F253" s="24">
        <f>C253-'Derived 5Y Spreads'!G92</f>
        <v>39.889999999999986</v>
      </c>
      <c r="G253" s="25">
        <f>'Derived 5Y Spreads'!E253</f>
      </c>
      <c r="H253" s="21" t="str">
        <f>'Derived 5Y Spreads'!O253</f>
        <v>stale</v>
      </c>
      <c r="I253" s="26" t="str">
        <f>'Derived 5Y Spreads'!A253</f>
        <v>screenshot-reference-20260824-v1</v>
      </c>
      <c r="J253" s="26" t="str">
        <f>'Derived 5Y Spreads'!D253</f>
        <v>SCREENSHOT.ORCLE.5Y</v>
      </c>
      <c r="K253" s="9"/>
    </row>
    <row r="254" spans="1:11" x14ac:dyDescent="0.25">
      <c r="A254" s="3">
        <v>46234</v>
      </c>
      <c r="B254" s="2" t="s">
        <v>14</v>
      </c>
      <c r="C254" s="18">
        <f>'Derived 5Y Spreads'!G254</f>
        <v>917.5</v>
      </c>
      <c r="D254" s="19">
        <f>C254-'Derived 5Y Spreads'!G247</f>
        <v>-32.5</v>
      </c>
      <c r="E254" s="19">
        <f>C254-'Derived 5Y Spreads'!G219</f>
        <v>197.5</v>
      </c>
      <c r="F254" s="19">
        <f>C254-'Derived 5Y Spreads'!G93</f>
        <v>355.83000000000004</v>
      </c>
      <c r="G254" s="20">
        <f>'Derived 5Y Spreads'!E254</f>
      </c>
      <c r="H254" s="21" t="str">
        <f>'Derived 5Y Spreads'!O254</f>
        <v>stale</v>
      </c>
      <c r="I254" s="22" t="str">
        <f>'Derived 5Y Spreads'!A254</f>
        <v>screenshot-reference-20260824-v1</v>
      </c>
      <c r="J254" s="22" t="str">
        <f>'Derived 5Y Spreads'!D254</f>
        <v>SCREENSHOT.COREWEI.5Y</v>
      </c>
      <c r="K254" s="5"/>
    </row>
    <row r="255" spans="1:11" x14ac:dyDescent="0.25">
      <c r="A255" s="7">
        <v>46234</v>
      </c>
      <c r="B255" s="6" t="s">
        <v>17</v>
      </c>
      <c r="C255" s="23">
        <f>'Derived 5Y Spreads'!G255</f>
        <v>80</v>
      </c>
      <c r="D255" s="24">
        <f>C255-'Derived 5Y Spreads'!G248</f>
        <v>-2</v>
      </c>
      <c r="E255" s="24">
        <f>C255-'Derived 5Y Spreads'!G220</f>
        <v>10</v>
      </c>
      <c r="F255" s="24">
        <f>C255-'Derived 5Y Spreads'!G94</f>
        <v>34.11</v>
      </c>
      <c r="G255" s="25">
        <f>'Derived 5Y Spreads'!E255</f>
      </c>
      <c r="H255" s="21" t="str">
        <f>'Derived 5Y Spreads'!O255</f>
        <v>stale</v>
      </c>
      <c r="I255" s="26" t="str">
        <f>'Derived 5Y Spreads'!A255</f>
        <v>screenshot-reference-20260824-v1</v>
      </c>
      <c r="J255" s="26" t="str">
        <f>'Derived 5Y Spreads'!D255</f>
        <v>SCREENSHOT.NVIDIA.5Y</v>
      </c>
      <c r="K255" s="9"/>
    </row>
    <row r="256" spans="1:11" x14ac:dyDescent="0.25">
      <c r="A256" s="3">
        <v>46234</v>
      </c>
      <c r="B256" s="2" t="s">
        <v>20</v>
      </c>
      <c r="C256" s="18">
        <f>'Derived 5Y Spreads'!G256</f>
        <v>66</v>
      </c>
      <c r="D256" s="19">
        <f>C256-'Derived 5Y Spreads'!G249</f>
        <v>-3</v>
      </c>
      <c r="E256" s="19">
        <f>C256-'Derived 5Y Spreads'!G221</f>
        <v>3.799999999999997</v>
      </c>
      <c r="F256" s="19">
        <f>C256-'Derived 5Y Spreads'!G95</f>
        <v>11.25</v>
      </c>
      <c r="G256" s="20">
        <f>'Derived 5Y Spreads'!E256</f>
      </c>
      <c r="H256" s="21" t="str">
        <f>'Derived 5Y Spreads'!O256</f>
        <v>stale</v>
      </c>
      <c r="I256" s="22" t="str">
        <f>'Derived 5Y Spreads'!A256</f>
        <v>screenshot-reference-20260824-v1</v>
      </c>
      <c r="J256" s="22" t="str">
        <f>'Derived 5Y Spreads'!D256</f>
        <v>SCREENSHOT.AMZN.5Y</v>
      </c>
      <c r="K256" s="5"/>
    </row>
    <row r="257" spans="1:11" x14ac:dyDescent="0.25">
      <c r="A257" s="7">
        <v>46234</v>
      </c>
      <c r="B257" s="6" t="s">
        <v>23</v>
      </c>
      <c r="C257" s="23">
        <f>'Derived 5Y Spreads'!G257</f>
        <v>62.6</v>
      </c>
      <c r="D257" s="24">
        <f>C257-'Derived 5Y Spreads'!G250</f>
        <v>-2.1999999999999957</v>
      </c>
      <c r="E257" s="24">
        <f>C257-'Derived 5Y Spreads'!G222</f>
        <v>-1.3999999999999986</v>
      </c>
      <c r="F257" s="24">
        <f>C257-'Derived 5Y Spreads'!G96</f>
        <v>8.89</v>
      </c>
      <c r="G257" s="25">
        <f>'Derived 5Y Spreads'!E257</f>
      </c>
      <c r="H257" s="21" t="str">
        <f>'Derived 5Y Spreads'!O257</f>
        <v>stale</v>
      </c>
      <c r="I257" s="26" t="str">
        <f>'Derived 5Y Spreads'!A257</f>
        <v>screenshot-reference-20260824-v1</v>
      </c>
      <c r="J257" s="26" t="str">
        <f>'Derived 5Y Spreads'!D257</f>
        <v>SCREENSHOT.ALPHINC.5Y</v>
      </c>
      <c r="K257" s="9"/>
    </row>
    <row r="258" spans="1:11" x14ac:dyDescent="0.25">
      <c r="A258" s="3">
        <v>46234</v>
      </c>
      <c r="B258" s="2" t="s">
        <v>26</v>
      </c>
      <c r="C258" s="18">
        <f>'Derived 5Y Spreads'!G258</f>
        <v>53</v>
      </c>
      <c r="D258" s="19">
        <f>C258-'Derived 5Y Spreads'!G251</f>
        <v>-2</v>
      </c>
      <c r="E258" s="19">
        <f>C258-'Derived 5Y Spreads'!G223</f>
        <v>3.3999999999999986</v>
      </c>
      <c r="F258" s="19">
        <f>C258-'Derived 5Y Spreads'!G97</f>
        <v>11.14</v>
      </c>
      <c r="G258" s="20">
        <f>'Derived 5Y Spreads'!E258</f>
      </c>
      <c r="H258" s="21" t="str">
        <f>'Derived 5Y Spreads'!O258</f>
        <v>stale</v>
      </c>
      <c r="I258" s="22" t="str">
        <f>'Derived 5Y Spreads'!A258</f>
        <v>screenshot-reference-20260824-v1</v>
      </c>
      <c r="J258" s="22" t="str">
        <f>'Derived 5Y Spreads'!D258</f>
        <v>SCREENSHOT.MSFT.5Y</v>
      </c>
      <c r="K258" s="5"/>
    </row>
    <row r="259" spans="1:11" x14ac:dyDescent="0.25">
      <c r="A259" s="7">
        <v>46234</v>
      </c>
      <c r="B259" s="6" t="s">
        <v>29</v>
      </c>
      <c r="C259" s="23">
        <f>'Derived 5Y Spreads'!G259</f>
        <v>94.25</v>
      </c>
      <c r="D259" s="24">
        <f>C259-'Derived 5Y Spreads'!G252</f>
        <v>-3.75</v>
      </c>
      <c r="E259" s="24">
        <f>C259-'Derived 5Y Spreads'!G224</f>
        <v>9.650000000000006</v>
      </c>
      <c r="F259" s="24">
        <f>C259-'Derived 5Y Spreads'!G98</f>
        <v>25.5</v>
      </c>
      <c r="G259" s="25">
        <f>'Derived 5Y Spreads'!E259</f>
      </c>
      <c r="H259" s="21" t="str">
        <f>'Derived 5Y Spreads'!O259</f>
        <v>stale</v>
      </c>
      <c r="I259" s="26" t="str">
        <f>'Derived 5Y Spreads'!A259</f>
        <v>screenshot-reference-20260824-v1</v>
      </c>
      <c r="J259" s="26" t="str">
        <f>'Derived 5Y Spreads'!D259</f>
        <v>SCREENSHOT.METAPL.5Y</v>
      </c>
      <c r="K259" s="9"/>
    </row>
    <row r="260" spans="1:11" x14ac:dyDescent="0.25">
      <c r="A260" s="3">
        <v>46237</v>
      </c>
      <c r="B260" s="2" t="s">
        <v>9</v>
      </c>
      <c r="C260" s="18">
        <f>'Derived 5Y Spreads'!G260</f>
        <v>201</v>
      </c>
      <c r="D260" s="19">
        <f>C260-'Derived 5Y Spreads'!G253</f>
        <v>-9.599999999999994</v>
      </c>
      <c r="E260" s="19">
        <f>C260-'Derived 5Y Spreads'!G225</f>
        <v>-11.199999999999989</v>
      </c>
      <c r="F260" s="19">
        <f>C260-'Derived 5Y Spreads'!G113</f>
        <v>31.139999999999986</v>
      </c>
      <c r="G260" s="20">
        <f>'Derived 5Y Spreads'!E260</f>
      </c>
      <c r="H260" s="21" t="str">
        <f>'Derived 5Y Spreads'!O260</f>
        <v>stale</v>
      </c>
      <c r="I260" s="22" t="str">
        <f>'Derived 5Y Spreads'!A260</f>
        <v>screenshot-reference-20260824-v1</v>
      </c>
      <c r="J260" s="22" t="str">
        <f>'Derived 5Y Spreads'!D260</f>
        <v>SCREENSHOT.ORCLE.5Y</v>
      </c>
      <c r="K260" s="5"/>
    </row>
    <row r="261" spans="1:11" x14ac:dyDescent="0.25">
      <c r="A261" s="7">
        <v>46237</v>
      </c>
      <c r="B261" s="6" t="s">
        <v>14</v>
      </c>
      <c r="C261" s="23">
        <f>'Derived 5Y Spreads'!G261</f>
        <v>820</v>
      </c>
      <c r="D261" s="24">
        <f>C261-'Derived 5Y Spreads'!G254</f>
        <v>-97.5</v>
      </c>
      <c r="E261" s="24">
        <f>C261-'Derived 5Y Spreads'!G226</f>
        <v>70</v>
      </c>
      <c r="F261" s="24">
        <f>C261-'Derived 5Y Spreads'!G114</f>
        <v>232.5</v>
      </c>
      <c r="G261" s="25">
        <f>'Derived 5Y Spreads'!E261</f>
      </c>
      <c r="H261" s="21" t="str">
        <f>'Derived 5Y Spreads'!O261</f>
        <v>stale</v>
      </c>
      <c r="I261" s="26" t="str">
        <f>'Derived 5Y Spreads'!A261</f>
        <v>screenshot-reference-20260824-v1</v>
      </c>
      <c r="J261" s="26" t="str">
        <f>'Derived 5Y Spreads'!D261</f>
        <v>SCREENSHOT.COREWEI.5Y</v>
      </c>
      <c r="K261" s="9"/>
    </row>
    <row r="262" spans="1:11" x14ac:dyDescent="0.25">
      <c r="A262" s="3">
        <v>46237</v>
      </c>
      <c r="B262" s="2" t="s">
        <v>17</v>
      </c>
      <c r="C262" s="18">
        <f>'Derived 5Y Spreads'!G262</f>
        <v>74</v>
      </c>
      <c r="D262" s="19">
        <f>C262-'Derived 5Y Spreads'!G255</f>
        <v>-6</v>
      </c>
      <c r="E262" s="19">
        <f>C262-'Derived 5Y Spreads'!G227</f>
        <v>-6</v>
      </c>
      <c r="F262" s="19">
        <f>C262-'Derived 5Y Spreads'!G115</f>
        <v>28.439999999999998</v>
      </c>
      <c r="G262" s="20">
        <f>'Derived 5Y Spreads'!E262</f>
      </c>
      <c r="H262" s="21" t="str">
        <f>'Derived 5Y Spreads'!O262</f>
        <v>stale</v>
      </c>
      <c r="I262" s="22" t="str">
        <f>'Derived 5Y Spreads'!A262</f>
        <v>screenshot-reference-20260824-v1</v>
      </c>
      <c r="J262" s="22" t="str">
        <f>'Derived 5Y Spreads'!D262</f>
        <v>SCREENSHOT.NVIDIA.5Y</v>
      </c>
      <c r="K262" s="5"/>
    </row>
    <row r="263" spans="1:11" x14ac:dyDescent="0.25">
      <c r="A263" s="7">
        <v>46237</v>
      </c>
      <c r="B263" s="6" t="s">
        <v>20</v>
      </c>
      <c r="C263" s="23">
        <f>'Derived 5Y Spreads'!G263</f>
        <v>57</v>
      </c>
      <c r="D263" s="24">
        <f>C263-'Derived 5Y Spreads'!G256</f>
        <v>-9</v>
      </c>
      <c r="E263" s="24">
        <f>C263-'Derived 5Y Spreads'!G228</f>
        <v>-10</v>
      </c>
      <c r="F263" s="24">
        <f>C263-'Derived 5Y Spreads'!G116</f>
        <v>2.5</v>
      </c>
      <c r="G263" s="25">
        <f>'Derived 5Y Spreads'!E263</f>
      </c>
      <c r="H263" s="21" t="str">
        <f>'Derived 5Y Spreads'!O263</f>
        <v>stale</v>
      </c>
      <c r="I263" s="26" t="str">
        <f>'Derived 5Y Spreads'!A263</f>
        <v>screenshot-reference-20260824-v1</v>
      </c>
      <c r="J263" s="26" t="str">
        <f>'Derived 5Y Spreads'!D263</f>
        <v>SCREENSHOT.AMZN.5Y</v>
      </c>
      <c r="K263" s="9"/>
    </row>
    <row r="264" spans="1:11" x14ac:dyDescent="0.25">
      <c r="A264" s="3">
        <v>46237</v>
      </c>
      <c r="B264" s="2" t="s">
        <v>23</v>
      </c>
      <c r="C264" s="18">
        <f>'Derived 5Y Spreads'!G264</f>
        <v>56</v>
      </c>
      <c r="D264" s="19">
        <f>C264-'Derived 5Y Spreads'!G257</f>
        <v>-6.600000000000001</v>
      </c>
      <c r="E264" s="19">
        <f>C264-'Derived 5Y Spreads'!G229</f>
        <v>-9.799999999999997</v>
      </c>
      <c r="F264" s="19">
        <f>C264-'Derived 5Y Spreads'!G117</f>
        <v>2.3999999999999986</v>
      </c>
      <c r="G264" s="20">
        <f>'Derived 5Y Spreads'!E264</f>
      </c>
      <c r="H264" s="21" t="str">
        <f>'Derived 5Y Spreads'!O264</f>
        <v>stale</v>
      </c>
      <c r="I264" s="22" t="str">
        <f>'Derived 5Y Spreads'!A264</f>
        <v>screenshot-reference-20260824-v1</v>
      </c>
      <c r="J264" s="22" t="str">
        <f>'Derived 5Y Spreads'!D264</f>
        <v>SCREENSHOT.ALPHINC.5Y</v>
      </c>
      <c r="K264" s="5"/>
    </row>
    <row r="265" spans="1:11" x14ac:dyDescent="0.25">
      <c r="A265" s="7">
        <v>46237</v>
      </c>
      <c r="B265" s="6" t="s">
        <v>26</v>
      </c>
      <c r="C265" s="23">
        <f>'Derived 5Y Spreads'!G265</f>
        <v>47</v>
      </c>
      <c r="D265" s="24">
        <f>C265-'Derived 5Y Spreads'!G258</f>
        <v>-6</v>
      </c>
      <c r="E265" s="24">
        <f>C265-'Derived 5Y Spreads'!G230</f>
        <v>-5</v>
      </c>
      <c r="F265" s="24">
        <f>C265-'Derived 5Y Spreads'!G118</f>
        <v>5.57</v>
      </c>
      <c r="G265" s="25">
        <f>'Derived 5Y Spreads'!E265</f>
      </c>
      <c r="H265" s="21" t="str">
        <f>'Derived 5Y Spreads'!O265</f>
        <v>stale</v>
      </c>
      <c r="I265" s="26" t="str">
        <f>'Derived 5Y Spreads'!A265</f>
        <v>screenshot-reference-20260824-v1</v>
      </c>
      <c r="J265" s="26" t="str">
        <f>'Derived 5Y Spreads'!D265</f>
        <v>SCREENSHOT.MSFT.5Y</v>
      </c>
      <c r="K265" s="9"/>
    </row>
    <row r="266" spans="1:11" x14ac:dyDescent="0.25">
      <c r="A266" s="3">
        <v>46237</v>
      </c>
      <c r="B266" s="2" t="s">
        <v>29</v>
      </c>
      <c r="C266" s="18">
        <f>'Derived 5Y Spreads'!G266</f>
        <v>83</v>
      </c>
      <c r="D266" s="19">
        <f>C266-'Derived 5Y Spreads'!G259</f>
        <v>-11.25</v>
      </c>
      <c r="E266" s="19">
        <f>C266-'Derived 5Y Spreads'!G231</f>
        <v>-10</v>
      </c>
      <c r="F266" s="19">
        <f>C266-'Derived 5Y Spreads'!G119</f>
        <v>14.75</v>
      </c>
      <c r="G266" s="20">
        <f>'Derived 5Y Spreads'!E266</f>
      </c>
      <c r="H266" s="21" t="str">
        <f>'Derived 5Y Spreads'!O266</f>
        <v>stale</v>
      </c>
      <c r="I266" s="22" t="str">
        <f>'Derived 5Y Spreads'!A266</f>
        <v>screenshot-reference-20260824-v1</v>
      </c>
      <c r="J266" s="22" t="str">
        <f>'Derived 5Y Spreads'!D266</f>
        <v>SCREENSHOT.METAPL.5Y</v>
      </c>
      <c r="K266" s="5"/>
    </row>
    <row r="267" spans="1:11" x14ac:dyDescent="0.25">
      <c r="A267" s="7">
        <v>46238</v>
      </c>
      <c r="B267" s="6" t="s">
        <v>9</v>
      </c>
      <c r="C267" s="23">
        <f>'Derived 5Y Spreads'!G267</f>
        <v>197</v>
      </c>
      <c r="D267" s="24">
        <f>C267-'Derived 5Y Spreads'!G260</f>
        <v>-4</v>
      </c>
      <c r="E267" s="24">
        <f>C267-'Derived 5Y Spreads'!G232</f>
        <v>-17.599999999999994</v>
      </c>
      <c r="F267" s="24">
        <f>C267-'Derived 5Y Spreads'!G113</f>
        <v>27.139999999999986</v>
      </c>
      <c r="G267" s="25">
        <f>'Derived 5Y Spreads'!E267</f>
      </c>
      <c r="H267" s="21" t="str">
        <f>'Derived 5Y Spreads'!O267</f>
        <v>stale</v>
      </c>
      <c r="I267" s="26" t="str">
        <f>'Derived 5Y Spreads'!A267</f>
        <v>screenshot-reference-20260824-v1</v>
      </c>
      <c r="J267" s="26" t="str">
        <f>'Derived 5Y Spreads'!D267</f>
        <v>SCREENSHOT.ORCLE.5Y</v>
      </c>
      <c r="K267" s="9"/>
    </row>
    <row r="268" spans="1:11" x14ac:dyDescent="0.25">
      <c r="A268" s="3">
        <v>46238</v>
      </c>
      <c r="B268" s="2" t="s">
        <v>14</v>
      </c>
      <c r="C268" s="18">
        <f>'Derived 5Y Spreads'!G268</f>
        <v>783.33</v>
      </c>
      <c r="D268" s="19">
        <f>C268-'Derived 5Y Spreads'!G261</f>
        <v>-36.66999999999996</v>
      </c>
      <c r="E268" s="19">
        <f>C268-'Derived 5Y Spreads'!G233</f>
        <v>-33.33999999999992</v>
      </c>
      <c r="F268" s="19">
        <f>C268-'Derived 5Y Spreads'!G114</f>
        <v>195.83000000000004</v>
      </c>
      <c r="G268" s="20">
        <f>'Derived 5Y Spreads'!E268</f>
      </c>
      <c r="H268" s="21" t="str">
        <f>'Derived 5Y Spreads'!O268</f>
        <v>stale</v>
      </c>
      <c r="I268" s="22" t="str">
        <f>'Derived 5Y Spreads'!A268</f>
        <v>screenshot-reference-20260824-v1</v>
      </c>
      <c r="J268" s="22" t="str">
        <f>'Derived 5Y Spreads'!D268</f>
        <v>SCREENSHOT.COREWEI.5Y</v>
      </c>
      <c r="K268" s="5"/>
    </row>
    <row r="269" spans="1:11" x14ac:dyDescent="0.25">
      <c r="A269" s="7">
        <v>46238</v>
      </c>
      <c r="B269" s="6" t="s">
        <v>17</v>
      </c>
      <c r="C269" s="23">
        <f>'Derived 5Y Spreads'!G269</f>
        <v>72</v>
      </c>
      <c r="D269" s="24">
        <f>C269-'Derived 5Y Spreads'!G262</f>
        <v>-2</v>
      </c>
      <c r="E269" s="24">
        <f>C269-'Derived 5Y Spreads'!G234</f>
        <v>-8.670000000000002</v>
      </c>
      <c r="F269" s="24">
        <f>C269-'Derived 5Y Spreads'!G115</f>
        <v>26.439999999999998</v>
      </c>
      <c r="G269" s="25">
        <f>'Derived 5Y Spreads'!E269</f>
      </c>
      <c r="H269" s="21" t="str">
        <f>'Derived 5Y Spreads'!O269</f>
        <v>stale</v>
      </c>
      <c r="I269" s="26" t="str">
        <f>'Derived 5Y Spreads'!A269</f>
        <v>screenshot-reference-20260824-v1</v>
      </c>
      <c r="J269" s="26" t="str">
        <f>'Derived 5Y Spreads'!D269</f>
        <v>SCREENSHOT.NVIDIA.5Y</v>
      </c>
      <c r="K269" s="9"/>
    </row>
    <row r="270" spans="1:11" x14ac:dyDescent="0.25">
      <c r="A270" s="3">
        <v>46238</v>
      </c>
      <c r="B270" s="2" t="s">
        <v>20</v>
      </c>
      <c r="C270" s="18">
        <f>'Derived 5Y Spreads'!G270</f>
        <v>56.5</v>
      </c>
      <c r="D270" s="19">
        <f>C270-'Derived 5Y Spreads'!G263</f>
        <v>-0.5</v>
      </c>
      <c r="E270" s="19">
        <f>C270-'Derived 5Y Spreads'!G235</f>
        <v>-11.170000000000002</v>
      </c>
      <c r="F270" s="19">
        <f>C270-'Derived 5Y Spreads'!G116</f>
        <v>2</v>
      </c>
      <c r="G270" s="20">
        <f>'Derived 5Y Spreads'!E270</f>
      </c>
      <c r="H270" s="21" t="str">
        <f>'Derived 5Y Spreads'!O270</f>
        <v>stale</v>
      </c>
      <c r="I270" s="22" t="str">
        <f>'Derived 5Y Spreads'!A270</f>
        <v>screenshot-reference-20260824-v1</v>
      </c>
      <c r="J270" s="22" t="str">
        <f>'Derived 5Y Spreads'!D270</f>
        <v>SCREENSHOT.AMZN.5Y</v>
      </c>
      <c r="K270" s="5"/>
    </row>
    <row r="271" spans="1:11" x14ac:dyDescent="0.25">
      <c r="A271" s="7">
        <v>46238</v>
      </c>
      <c r="B271" s="6" t="s">
        <v>23</v>
      </c>
      <c r="C271" s="23">
        <f>'Derived 5Y Spreads'!G271</f>
        <v>55.75</v>
      </c>
      <c r="D271" s="24">
        <f>C271-'Derived 5Y Spreads'!G264</f>
        <v>-0.25</v>
      </c>
      <c r="E271" s="24">
        <f>C271-'Derived 5Y Spreads'!G236</f>
        <v>-10.650000000000006</v>
      </c>
      <c r="F271" s="24">
        <f>C271-'Derived 5Y Spreads'!G117</f>
        <v>2.1499999999999986</v>
      </c>
      <c r="G271" s="25">
        <f>'Derived 5Y Spreads'!E271</f>
      </c>
      <c r="H271" s="21" t="str">
        <f>'Derived 5Y Spreads'!O271</f>
        <v>stale</v>
      </c>
      <c r="I271" s="26" t="str">
        <f>'Derived 5Y Spreads'!A271</f>
        <v>screenshot-reference-20260824-v1</v>
      </c>
      <c r="J271" s="26" t="str">
        <f>'Derived 5Y Spreads'!D271</f>
        <v>SCREENSHOT.ALPHINC.5Y</v>
      </c>
      <c r="K271" s="9"/>
    </row>
    <row r="272" spans="1:11" x14ac:dyDescent="0.25">
      <c r="A272" s="3">
        <v>46238</v>
      </c>
      <c r="B272" s="2" t="s">
        <v>26</v>
      </c>
      <c r="C272" s="18">
        <f>'Derived 5Y Spreads'!G272</f>
        <v>46.75</v>
      </c>
      <c r="D272" s="19">
        <f>C272-'Derived 5Y Spreads'!G265</f>
        <v>-0.25</v>
      </c>
      <c r="E272" s="19">
        <f>C272-'Derived 5Y Spreads'!G237</f>
        <v>-6.25</v>
      </c>
      <c r="F272" s="19">
        <f>C272-'Derived 5Y Spreads'!G118</f>
        <v>5.32</v>
      </c>
      <c r="G272" s="20">
        <f>'Derived 5Y Spreads'!E272</f>
      </c>
      <c r="H272" s="21" t="str">
        <f>'Derived 5Y Spreads'!O272</f>
        <v>stale</v>
      </c>
      <c r="I272" s="22" t="str">
        <f>'Derived 5Y Spreads'!A272</f>
        <v>screenshot-reference-20260824-v1</v>
      </c>
      <c r="J272" s="22" t="str">
        <f>'Derived 5Y Spreads'!D272</f>
        <v>SCREENSHOT.MSFT.5Y</v>
      </c>
      <c r="K272" s="5"/>
    </row>
    <row r="273" spans="1:11" x14ac:dyDescent="0.25">
      <c r="A273" s="7">
        <v>46238</v>
      </c>
      <c r="B273" s="6" t="s">
        <v>29</v>
      </c>
      <c r="C273" s="23">
        <f>'Derived 5Y Spreads'!G273</f>
        <v>83.43</v>
      </c>
      <c r="D273" s="24">
        <f>C273-'Derived 5Y Spreads'!G266</f>
        <v>0.4300000000000068</v>
      </c>
      <c r="E273" s="24">
        <f>C273-'Derived 5Y Spreads'!G238</f>
        <v>-11.239999999999995</v>
      </c>
      <c r="F273" s="24">
        <f>C273-'Derived 5Y Spreads'!G119</f>
        <v>15.180000000000007</v>
      </c>
      <c r="G273" s="25">
        <f>'Derived 5Y Spreads'!E273</f>
      </c>
      <c r="H273" s="21" t="str">
        <f>'Derived 5Y Spreads'!O273</f>
        <v>stale</v>
      </c>
      <c r="I273" s="26" t="str">
        <f>'Derived 5Y Spreads'!A273</f>
        <v>screenshot-reference-20260824-v1</v>
      </c>
      <c r="J273" s="26" t="str">
        <f>'Derived 5Y Spreads'!D273</f>
        <v>SCREENSHOT.METAPL.5Y</v>
      </c>
      <c r="K273" s="9"/>
    </row>
    <row r="274" spans="1:11" x14ac:dyDescent="0.25">
      <c r="A274" s="3">
        <v>46239</v>
      </c>
      <c r="B274" s="2" t="s">
        <v>9</v>
      </c>
      <c r="C274" s="18">
        <f>'Derived 5Y Spreads'!G274</f>
        <v>193</v>
      </c>
      <c r="D274" s="19">
        <f>C274-'Derived 5Y Spreads'!G267</f>
        <v>-4</v>
      </c>
      <c r="E274" s="19">
        <f>C274-'Derived 5Y Spreads'!G239</f>
        <v>-24</v>
      </c>
      <c r="F274" s="19">
        <f>C274-'Derived 5Y Spreads'!G113</f>
        <v>23.139999999999986</v>
      </c>
      <c r="G274" s="20">
        <f>'Derived 5Y Spreads'!E274</f>
      </c>
      <c r="H274" s="21" t="str">
        <f>'Derived 5Y Spreads'!O274</f>
        <v>stale</v>
      </c>
      <c r="I274" s="22" t="str">
        <f>'Derived 5Y Spreads'!A274</f>
        <v>screenshot-reference-20260824-v1</v>
      </c>
      <c r="J274" s="22" t="str">
        <f>'Derived 5Y Spreads'!D274</f>
        <v>SCREENSHOT.ORCLE.5Y</v>
      </c>
      <c r="K274" s="5"/>
    </row>
    <row r="275" spans="1:11" x14ac:dyDescent="0.25">
      <c r="A275" s="7">
        <v>46239</v>
      </c>
      <c r="B275" s="6" t="s">
        <v>14</v>
      </c>
      <c r="C275" s="23">
        <f>'Derived 5Y Spreads'!G275</f>
        <v>746.67</v>
      </c>
      <c r="D275" s="24">
        <f>C275-'Derived 5Y Spreads'!G268</f>
        <v>-36.66000000000008</v>
      </c>
      <c r="E275" s="24">
        <f>C275-'Derived 5Y Spreads'!G240</f>
        <v>-136.66000000000008</v>
      </c>
      <c r="F275" s="24">
        <f>C275-'Derived 5Y Spreads'!G114</f>
        <v>159.16999999999996</v>
      </c>
      <c r="G275" s="25">
        <f>'Derived 5Y Spreads'!E275</f>
      </c>
      <c r="H275" s="21" t="str">
        <f>'Derived 5Y Spreads'!O275</f>
        <v>stale</v>
      </c>
      <c r="I275" s="26" t="str">
        <f>'Derived 5Y Spreads'!A275</f>
        <v>screenshot-reference-20260824-v1</v>
      </c>
      <c r="J275" s="26" t="str">
        <f>'Derived 5Y Spreads'!D275</f>
        <v>SCREENSHOT.COREWEI.5Y</v>
      </c>
      <c r="K275" s="9"/>
    </row>
    <row r="276" spans="1:11" x14ac:dyDescent="0.25">
      <c r="A276" s="3">
        <v>46239</v>
      </c>
      <c r="B276" s="2" t="s">
        <v>17</v>
      </c>
      <c r="C276" s="18">
        <f>'Derived 5Y Spreads'!G276</f>
        <v>70</v>
      </c>
      <c r="D276" s="19">
        <f>C276-'Derived 5Y Spreads'!G269</f>
        <v>-2</v>
      </c>
      <c r="E276" s="19">
        <f>C276-'Derived 5Y Spreads'!G241</f>
        <v>-11.329999999999998</v>
      </c>
      <c r="F276" s="19">
        <f>C276-'Derived 5Y Spreads'!G115</f>
        <v>24.439999999999998</v>
      </c>
      <c r="G276" s="20">
        <f>'Derived 5Y Spreads'!E276</f>
      </c>
      <c r="H276" s="21" t="str">
        <f>'Derived 5Y Spreads'!O276</f>
        <v>stale</v>
      </c>
      <c r="I276" s="22" t="str">
        <f>'Derived 5Y Spreads'!A276</f>
        <v>screenshot-reference-20260824-v1</v>
      </c>
      <c r="J276" s="22" t="str">
        <f>'Derived 5Y Spreads'!D276</f>
        <v>SCREENSHOT.NVIDIA.5Y</v>
      </c>
      <c r="K276" s="5"/>
    </row>
    <row r="277" spans="1:11" x14ac:dyDescent="0.25">
      <c r="A277" s="7">
        <v>46239</v>
      </c>
      <c r="B277" s="6" t="s">
        <v>20</v>
      </c>
      <c r="C277" s="23">
        <f>'Derived 5Y Spreads'!G277</f>
        <v>56</v>
      </c>
      <c r="D277" s="24">
        <f>C277-'Derived 5Y Spreads'!G270</f>
        <v>-0.5</v>
      </c>
      <c r="E277" s="24">
        <f>C277-'Derived 5Y Spreads'!G242</f>
        <v>-12.329999999999998</v>
      </c>
      <c r="F277" s="24">
        <f>C277-'Derived 5Y Spreads'!G116</f>
        <v>1.5</v>
      </c>
      <c r="G277" s="25">
        <f>'Derived 5Y Spreads'!E277</f>
      </c>
      <c r="H277" s="21" t="str">
        <f>'Derived 5Y Spreads'!O277</f>
        <v>stale</v>
      </c>
      <c r="I277" s="26" t="str">
        <f>'Derived 5Y Spreads'!A277</f>
        <v>screenshot-reference-20260824-v1</v>
      </c>
      <c r="J277" s="26" t="str">
        <f>'Derived 5Y Spreads'!D277</f>
        <v>SCREENSHOT.AMZN.5Y</v>
      </c>
      <c r="K277" s="9"/>
    </row>
    <row r="278" spans="1:11" x14ac:dyDescent="0.25">
      <c r="A278" s="3">
        <v>46239</v>
      </c>
      <c r="B278" s="2" t="s">
        <v>23</v>
      </c>
      <c r="C278" s="18">
        <f>'Derived 5Y Spreads'!G278</f>
        <v>55.5</v>
      </c>
      <c r="D278" s="19">
        <f>C278-'Derived 5Y Spreads'!G271</f>
        <v>-0.25</v>
      </c>
      <c r="E278" s="19">
        <f>C278-'Derived 5Y Spreads'!G243</f>
        <v>-11.5</v>
      </c>
      <c r="F278" s="19">
        <f>C278-'Derived 5Y Spreads'!G117</f>
        <v>1.8999999999999986</v>
      </c>
      <c r="G278" s="20">
        <f>'Derived 5Y Spreads'!E278</f>
      </c>
      <c r="H278" s="21" t="str">
        <f>'Derived 5Y Spreads'!O278</f>
        <v>stale</v>
      </c>
      <c r="I278" s="22" t="str">
        <f>'Derived 5Y Spreads'!A278</f>
        <v>screenshot-reference-20260824-v1</v>
      </c>
      <c r="J278" s="22" t="str">
        <f>'Derived 5Y Spreads'!D278</f>
        <v>SCREENSHOT.ALPHINC.5Y</v>
      </c>
      <c r="K278" s="5"/>
    </row>
    <row r="279" spans="1:11" x14ac:dyDescent="0.25">
      <c r="A279" s="7">
        <v>46239</v>
      </c>
      <c r="B279" s="6" t="s">
        <v>26</v>
      </c>
      <c r="C279" s="23">
        <f>'Derived 5Y Spreads'!G279</f>
        <v>46.5</v>
      </c>
      <c r="D279" s="24">
        <f>C279-'Derived 5Y Spreads'!G272</f>
        <v>-0.25</v>
      </c>
      <c r="E279" s="24">
        <f>C279-'Derived 5Y Spreads'!G244</f>
        <v>-7.5</v>
      </c>
      <c r="F279" s="24">
        <f>C279-'Derived 5Y Spreads'!G118</f>
        <v>5.07</v>
      </c>
      <c r="G279" s="25">
        <f>'Derived 5Y Spreads'!E279</f>
      </c>
      <c r="H279" s="21" t="str">
        <f>'Derived 5Y Spreads'!O279</f>
        <v>stale</v>
      </c>
      <c r="I279" s="26" t="str">
        <f>'Derived 5Y Spreads'!A279</f>
        <v>screenshot-reference-20260824-v1</v>
      </c>
      <c r="J279" s="26" t="str">
        <f>'Derived 5Y Spreads'!D279</f>
        <v>SCREENSHOT.MSFT.5Y</v>
      </c>
      <c r="K279" s="9"/>
    </row>
    <row r="280" spans="1:11" x14ac:dyDescent="0.25">
      <c r="A280" s="3">
        <v>46239</v>
      </c>
      <c r="B280" s="2" t="s">
        <v>29</v>
      </c>
      <c r="C280" s="18">
        <f>'Derived 5Y Spreads'!G280</f>
        <v>83.86</v>
      </c>
      <c r="D280" s="19">
        <f>C280-'Derived 5Y Spreads'!G273</f>
        <v>0.4299999999999926</v>
      </c>
      <c r="E280" s="19">
        <f>C280-'Derived 5Y Spreads'!G245</f>
        <v>-12.469999999999999</v>
      </c>
      <c r="F280" s="19">
        <f>C280-'Derived 5Y Spreads'!G119</f>
        <v>15.61</v>
      </c>
      <c r="G280" s="20">
        <f>'Derived 5Y Spreads'!E280</f>
      </c>
      <c r="H280" s="21" t="str">
        <f>'Derived 5Y Spreads'!O280</f>
        <v>stale</v>
      </c>
      <c r="I280" s="22" t="str">
        <f>'Derived 5Y Spreads'!A280</f>
        <v>screenshot-reference-20260824-v1</v>
      </c>
      <c r="J280" s="22" t="str">
        <f>'Derived 5Y Spreads'!D280</f>
        <v>SCREENSHOT.METAPL.5Y</v>
      </c>
      <c r="K280" s="5"/>
    </row>
    <row r="281" spans="1:11" x14ac:dyDescent="0.25">
      <c r="A281" s="7">
        <v>46240</v>
      </c>
      <c r="B281" s="6" t="s">
        <v>9</v>
      </c>
      <c r="C281" s="23">
        <f>'Derived 5Y Spreads'!G281</f>
        <v>189</v>
      </c>
      <c r="D281" s="24">
        <f>C281-'Derived 5Y Spreads'!G274</f>
        <v>-4</v>
      </c>
      <c r="E281" s="24">
        <f>C281-'Derived 5Y Spreads'!G246</f>
        <v>-24.80000000000001</v>
      </c>
      <c r="F281" s="24">
        <f>C281-'Derived 5Y Spreads'!G120</f>
        <v>20</v>
      </c>
      <c r="G281" s="25">
        <f>'Derived 5Y Spreads'!E281</f>
      </c>
      <c r="H281" s="21" t="str">
        <f>'Derived 5Y Spreads'!O281</f>
        <v>stale</v>
      </c>
      <c r="I281" s="26" t="str">
        <f>'Derived 5Y Spreads'!A281</f>
        <v>screenshot-reference-20260824-v1</v>
      </c>
      <c r="J281" s="26" t="str">
        <f>'Derived 5Y Spreads'!D281</f>
        <v>SCREENSHOT.ORCLE.5Y</v>
      </c>
      <c r="K281" s="9"/>
    </row>
    <row r="282" spans="1:11" x14ac:dyDescent="0.25">
      <c r="A282" s="3">
        <v>46240</v>
      </c>
      <c r="B282" s="2" t="s">
        <v>14</v>
      </c>
      <c r="C282" s="18">
        <f>'Derived 5Y Spreads'!G282</f>
        <v>710</v>
      </c>
      <c r="D282" s="19">
        <f>C282-'Derived 5Y Spreads'!G275</f>
        <v>-36.66999999999996</v>
      </c>
      <c r="E282" s="19">
        <f>C282-'Derived 5Y Spreads'!G247</f>
        <v>-240</v>
      </c>
      <c r="F282" s="19">
        <f>C282-'Derived 5Y Spreads'!G121</f>
        <v>115</v>
      </c>
      <c r="G282" s="20">
        <f>'Derived 5Y Spreads'!E282</f>
      </c>
      <c r="H282" s="21" t="str">
        <f>'Derived 5Y Spreads'!O282</f>
        <v>stale</v>
      </c>
      <c r="I282" s="22" t="str">
        <f>'Derived 5Y Spreads'!A282</f>
        <v>screenshot-reference-20260824-v1</v>
      </c>
      <c r="J282" s="22" t="str">
        <f>'Derived 5Y Spreads'!D282</f>
        <v>SCREENSHOT.COREWEI.5Y</v>
      </c>
      <c r="K282" s="5"/>
    </row>
    <row r="283" spans="1:11" x14ac:dyDescent="0.25">
      <c r="A283" s="7">
        <v>46240</v>
      </c>
      <c r="B283" s="6" t="s">
        <v>17</v>
      </c>
      <c r="C283" s="23">
        <f>'Derived 5Y Spreads'!G283</f>
        <v>68</v>
      </c>
      <c r="D283" s="24">
        <f>C283-'Derived 5Y Spreads'!G276</f>
        <v>-2</v>
      </c>
      <c r="E283" s="24">
        <f>C283-'Derived 5Y Spreads'!G248</f>
        <v>-14</v>
      </c>
      <c r="F283" s="24">
        <f>C283-'Derived 5Y Spreads'!G122</f>
        <v>22.78</v>
      </c>
      <c r="G283" s="25">
        <f>'Derived 5Y Spreads'!E283</f>
      </c>
      <c r="H283" s="21" t="str">
        <f>'Derived 5Y Spreads'!O283</f>
        <v>stale</v>
      </c>
      <c r="I283" s="26" t="str">
        <f>'Derived 5Y Spreads'!A283</f>
        <v>screenshot-reference-20260824-v1</v>
      </c>
      <c r="J283" s="26" t="str">
        <f>'Derived 5Y Spreads'!D283</f>
        <v>SCREENSHOT.NVIDIA.5Y</v>
      </c>
      <c r="K283" s="9"/>
    </row>
    <row r="284" spans="1:11" x14ac:dyDescent="0.25">
      <c r="A284" s="3">
        <v>46240</v>
      </c>
      <c r="B284" s="2" t="s">
        <v>20</v>
      </c>
      <c r="C284" s="18">
        <f>'Derived 5Y Spreads'!G284</f>
        <v>55.5</v>
      </c>
      <c r="D284" s="19">
        <f>C284-'Derived 5Y Spreads'!G277</f>
        <v>-0.5</v>
      </c>
      <c r="E284" s="19">
        <f>C284-'Derived 5Y Spreads'!G249</f>
        <v>-13.5</v>
      </c>
      <c r="F284" s="19">
        <f>C284-'Derived 5Y Spreads'!G123</f>
        <v>2.5</v>
      </c>
      <c r="G284" s="20">
        <f>'Derived 5Y Spreads'!E284</f>
      </c>
      <c r="H284" s="21" t="str">
        <f>'Derived 5Y Spreads'!O284</f>
        <v>stale</v>
      </c>
      <c r="I284" s="22" t="str">
        <f>'Derived 5Y Spreads'!A284</f>
        <v>screenshot-reference-20260824-v1</v>
      </c>
      <c r="J284" s="22" t="str">
        <f>'Derived 5Y Spreads'!D284</f>
        <v>SCREENSHOT.AMZN.5Y</v>
      </c>
      <c r="K284" s="5"/>
    </row>
    <row r="285" spans="1:11" x14ac:dyDescent="0.25">
      <c r="A285" s="7">
        <v>46240</v>
      </c>
      <c r="B285" s="6" t="s">
        <v>23</v>
      </c>
      <c r="C285" s="23">
        <f>'Derived 5Y Spreads'!G285</f>
        <v>55.25</v>
      </c>
      <c r="D285" s="24">
        <f>C285-'Derived 5Y Spreads'!G278</f>
        <v>-0.25</v>
      </c>
      <c r="E285" s="24">
        <f>C285-'Derived 5Y Spreads'!G250</f>
        <v>-9.549999999999997</v>
      </c>
      <c r="F285" s="24">
        <f>C285-'Derived 5Y Spreads'!G124</f>
        <v>2.25</v>
      </c>
      <c r="G285" s="25">
        <f>'Derived 5Y Spreads'!E285</f>
      </c>
      <c r="H285" s="21" t="str">
        <f>'Derived 5Y Spreads'!O285</f>
        <v>stale</v>
      </c>
      <c r="I285" s="26" t="str">
        <f>'Derived 5Y Spreads'!A285</f>
        <v>screenshot-reference-20260824-v1</v>
      </c>
      <c r="J285" s="26" t="str">
        <f>'Derived 5Y Spreads'!D285</f>
        <v>SCREENSHOT.ALPHINC.5Y</v>
      </c>
      <c r="K285" s="9"/>
    </row>
    <row r="286" spans="1:11" x14ac:dyDescent="0.25">
      <c r="A286" s="3">
        <v>46240</v>
      </c>
      <c r="B286" s="2" t="s">
        <v>26</v>
      </c>
      <c r="C286" s="18">
        <f>'Derived 5Y Spreads'!G286</f>
        <v>46.25</v>
      </c>
      <c r="D286" s="19">
        <f>C286-'Derived 5Y Spreads'!G279</f>
        <v>-0.25</v>
      </c>
      <c r="E286" s="19">
        <f>C286-'Derived 5Y Spreads'!G251</f>
        <v>-8.75</v>
      </c>
      <c r="F286" s="19">
        <f>C286-'Derived 5Y Spreads'!G125</f>
        <v>5.25</v>
      </c>
      <c r="G286" s="20">
        <f>'Derived 5Y Spreads'!E286</f>
      </c>
      <c r="H286" s="21" t="str">
        <f>'Derived 5Y Spreads'!O286</f>
        <v>stale</v>
      </c>
      <c r="I286" s="22" t="str">
        <f>'Derived 5Y Spreads'!A286</f>
        <v>screenshot-reference-20260824-v1</v>
      </c>
      <c r="J286" s="22" t="str">
        <f>'Derived 5Y Spreads'!D286</f>
        <v>SCREENSHOT.MSFT.5Y</v>
      </c>
      <c r="K286" s="5"/>
    </row>
    <row r="287" spans="1:11" x14ac:dyDescent="0.25">
      <c r="A287" s="7">
        <v>46240</v>
      </c>
      <c r="B287" s="6" t="s">
        <v>29</v>
      </c>
      <c r="C287" s="23">
        <f>'Derived 5Y Spreads'!G287</f>
        <v>84.29</v>
      </c>
      <c r="D287" s="24">
        <f>C287-'Derived 5Y Spreads'!G280</f>
        <v>0.4300000000000068</v>
      </c>
      <c r="E287" s="24">
        <f>C287-'Derived 5Y Spreads'!G252</f>
        <v>-13.709999999999994</v>
      </c>
      <c r="F287" s="24">
        <f>C287-'Derived 5Y Spreads'!G126</f>
        <v>15.290000000000006</v>
      </c>
      <c r="G287" s="25">
        <f>'Derived 5Y Spreads'!E287</f>
      </c>
      <c r="H287" s="21" t="str">
        <f>'Derived 5Y Spreads'!O287</f>
        <v>stale</v>
      </c>
      <c r="I287" s="26" t="str">
        <f>'Derived 5Y Spreads'!A287</f>
        <v>screenshot-reference-20260824-v1</v>
      </c>
      <c r="J287" s="26" t="str">
        <f>'Derived 5Y Spreads'!D287</f>
        <v>SCREENSHOT.METAPL.5Y</v>
      </c>
      <c r="K287" s="9"/>
    </row>
    <row r="288" spans="1:11" x14ac:dyDescent="0.25">
      <c r="A288" s="3">
        <v>46241</v>
      </c>
      <c r="B288" s="2" t="s">
        <v>9</v>
      </c>
      <c r="C288" s="18">
        <f>'Derived 5Y Spreads'!G288</f>
        <v>190.5</v>
      </c>
      <c r="D288" s="19">
        <f>C288-'Derived 5Y Spreads'!G281</f>
        <v>1.5</v>
      </c>
      <c r="E288" s="19">
        <f>C288-'Derived 5Y Spreads'!G253</f>
        <v>-20.099999999999994</v>
      </c>
      <c r="F288" s="19">
        <f>C288-'Derived 5Y Spreads'!G127</f>
        <v>18.930000000000007</v>
      </c>
      <c r="G288" s="20">
        <f>'Derived 5Y Spreads'!E288</f>
      </c>
      <c r="H288" s="21" t="str">
        <f>'Derived 5Y Spreads'!O288</f>
        <v>stale</v>
      </c>
      <c r="I288" s="22" t="str">
        <f>'Derived 5Y Spreads'!A288</f>
        <v>screenshot-reference-20260824-v1</v>
      </c>
      <c r="J288" s="22" t="str">
        <f>'Derived 5Y Spreads'!D288</f>
        <v>SCREENSHOT.ORCLE.5Y</v>
      </c>
      <c r="K288" s="5"/>
    </row>
    <row r="289" spans="1:11" x14ac:dyDescent="0.25">
      <c r="A289" s="7">
        <v>46241</v>
      </c>
      <c r="B289" s="6" t="s">
        <v>14</v>
      </c>
      <c r="C289" s="23">
        <f>'Derived 5Y Spreads'!G289</f>
        <v>722.5</v>
      </c>
      <c r="D289" s="24">
        <f>C289-'Derived 5Y Spreads'!G282</f>
        <v>12.5</v>
      </c>
      <c r="E289" s="24">
        <f>C289-'Derived 5Y Spreads'!G254</f>
        <v>-195</v>
      </c>
      <c r="F289" s="24">
        <f>C289-'Derived 5Y Spreads'!G128</f>
        <v>125</v>
      </c>
      <c r="G289" s="25">
        <f>'Derived 5Y Spreads'!E289</f>
      </c>
      <c r="H289" s="21" t="str">
        <f>'Derived 5Y Spreads'!O289</f>
        <v>stale</v>
      </c>
      <c r="I289" s="26" t="str">
        <f>'Derived 5Y Spreads'!A289</f>
        <v>screenshot-reference-20260824-v1</v>
      </c>
      <c r="J289" s="26" t="str">
        <f>'Derived 5Y Spreads'!D289</f>
        <v>SCREENSHOT.COREWEI.5Y</v>
      </c>
      <c r="K289" s="9"/>
    </row>
    <row r="290" spans="1:11" x14ac:dyDescent="0.25">
      <c r="A290" s="3">
        <v>46241</v>
      </c>
      <c r="B290" s="2" t="s">
        <v>17</v>
      </c>
      <c r="C290" s="18">
        <f>'Derived 5Y Spreads'!G290</f>
        <v>70</v>
      </c>
      <c r="D290" s="19">
        <f>C290-'Derived 5Y Spreads'!G283</f>
        <v>2</v>
      </c>
      <c r="E290" s="19">
        <f>C290-'Derived 5Y Spreads'!G255</f>
        <v>-10</v>
      </c>
      <c r="F290" s="19">
        <f>C290-'Derived 5Y Spreads'!G129</f>
        <v>24.89</v>
      </c>
      <c r="G290" s="20">
        <f>'Derived 5Y Spreads'!E290</f>
      </c>
      <c r="H290" s="21" t="str">
        <f>'Derived 5Y Spreads'!O290</f>
        <v>stale</v>
      </c>
      <c r="I290" s="22" t="str">
        <f>'Derived 5Y Spreads'!A290</f>
        <v>screenshot-reference-20260824-v1</v>
      </c>
      <c r="J290" s="22" t="str">
        <f>'Derived 5Y Spreads'!D290</f>
        <v>SCREENSHOT.NVIDIA.5Y</v>
      </c>
      <c r="K290" s="5"/>
    </row>
    <row r="291" spans="1:11" x14ac:dyDescent="0.25">
      <c r="A291" s="7">
        <v>46241</v>
      </c>
      <c r="B291" s="6" t="s">
        <v>20</v>
      </c>
      <c r="C291" s="23">
        <f>'Derived 5Y Spreads'!G291</f>
        <v>55</v>
      </c>
      <c r="D291" s="24">
        <f>C291-'Derived 5Y Spreads'!G284</f>
        <v>-0.5</v>
      </c>
      <c r="E291" s="24">
        <f>C291-'Derived 5Y Spreads'!G256</f>
        <v>-11</v>
      </c>
      <c r="F291" s="24">
        <f>C291-'Derived 5Y Spreads'!G130</f>
        <v>1</v>
      </c>
      <c r="G291" s="25">
        <f>'Derived 5Y Spreads'!E291</f>
      </c>
      <c r="H291" s="21" t="str">
        <f>'Derived 5Y Spreads'!O291</f>
        <v>stale</v>
      </c>
      <c r="I291" s="26" t="str">
        <f>'Derived 5Y Spreads'!A291</f>
        <v>screenshot-reference-20260824-v1</v>
      </c>
      <c r="J291" s="26" t="str">
        <f>'Derived 5Y Spreads'!D291</f>
        <v>SCREENSHOT.AMZN.5Y</v>
      </c>
      <c r="K291" s="9"/>
    </row>
    <row r="292" spans="1:11" x14ac:dyDescent="0.25">
      <c r="A292" s="3">
        <v>46241</v>
      </c>
      <c r="B292" s="2" t="s">
        <v>23</v>
      </c>
      <c r="C292" s="18">
        <f>'Derived 5Y Spreads'!G292</f>
        <v>55</v>
      </c>
      <c r="D292" s="19">
        <f>C292-'Derived 5Y Spreads'!G285</f>
        <v>-0.25</v>
      </c>
      <c r="E292" s="19">
        <f>C292-'Derived 5Y Spreads'!G257</f>
        <v>-7.600000000000001</v>
      </c>
      <c r="F292" s="19">
        <f>C292-'Derived 5Y Spreads'!G131</f>
        <v>1</v>
      </c>
      <c r="G292" s="20">
        <f>'Derived 5Y Spreads'!E292</f>
      </c>
      <c r="H292" s="21" t="str">
        <f>'Derived 5Y Spreads'!O292</f>
        <v>stale</v>
      </c>
      <c r="I292" s="22" t="str">
        <f>'Derived 5Y Spreads'!A292</f>
        <v>screenshot-reference-20260824-v1</v>
      </c>
      <c r="J292" s="22" t="str">
        <f>'Derived 5Y Spreads'!D292</f>
        <v>SCREENSHOT.ALPHINC.5Y</v>
      </c>
      <c r="K292" s="5"/>
    </row>
    <row r="293" spans="1:11" x14ac:dyDescent="0.25">
      <c r="A293" s="7">
        <v>46241</v>
      </c>
      <c r="B293" s="6" t="s">
        <v>26</v>
      </c>
      <c r="C293" s="23">
        <f>'Derived 5Y Spreads'!G293</f>
        <v>46</v>
      </c>
      <c r="D293" s="24">
        <f>C293-'Derived 5Y Spreads'!G286</f>
        <v>-0.25</v>
      </c>
      <c r="E293" s="24">
        <f>C293-'Derived 5Y Spreads'!G258</f>
        <v>-7</v>
      </c>
      <c r="F293" s="24">
        <f>C293-'Derived 5Y Spreads'!G132</f>
        <v>4</v>
      </c>
      <c r="G293" s="25">
        <f>'Derived 5Y Spreads'!E293</f>
      </c>
      <c r="H293" s="21" t="str">
        <f>'Derived 5Y Spreads'!O293</f>
        <v>stale</v>
      </c>
      <c r="I293" s="26" t="str">
        <f>'Derived 5Y Spreads'!A293</f>
        <v>screenshot-reference-20260824-v1</v>
      </c>
      <c r="J293" s="26" t="str">
        <f>'Derived 5Y Spreads'!D293</f>
        <v>SCREENSHOT.MSFT.5Y</v>
      </c>
      <c r="K293" s="9"/>
    </row>
    <row r="294" spans="1:11" x14ac:dyDescent="0.25">
      <c r="A294" s="3">
        <v>46241</v>
      </c>
      <c r="B294" s="2" t="s">
        <v>29</v>
      </c>
      <c r="C294" s="18">
        <f>'Derived 5Y Spreads'!G294</f>
        <v>84.71</v>
      </c>
      <c r="D294" s="19">
        <f>C294-'Derived 5Y Spreads'!G287</f>
        <v>0.4199999999999875</v>
      </c>
      <c r="E294" s="19">
        <f>C294-'Derived 5Y Spreads'!G259</f>
        <v>-9.540000000000006</v>
      </c>
      <c r="F294" s="19">
        <f>C294-'Derived 5Y Spreads'!G133</f>
        <v>14.279999999999987</v>
      </c>
      <c r="G294" s="20">
        <f>'Derived 5Y Spreads'!E294</f>
      </c>
      <c r="H294" s="21" t="str">
        <f>'Derived 5Y Spreads'!O294</f>
        <v>stale</v>
      </c>
      <c r="I294" s="22" t="str">
        <f>'Derived 5Y Spreads'!A294</f>
        <v>screenshot-reference-20260824-v1</v>
      </c>
      <c r="J294" s="22" t="str">
        <f>'Derived 5Y Spreads'!D294</f>
        <v>SCREENSHOT.METAPL.5Y</v>
      </c>
      <c r="K294" s="5"/>
    </row>
    <row r="295" spans="1:11" x14ac:dyDescent="0.25">
      <c r="A295" s="7">
        <v>46244</v>
      </c>
      <c r="B295" s="6" t="s">
        <v>9</v>
      </c>
      <c r="C295" s="23">
        <f>'Derived 5Y Spreads'!G295</f>
        <v>195</v>
      </c>
      <c r="D295" s="24">
        <f>C295-'Derived 5Y Spreads'!G288</f>
        <v>4.5</v>
      </c>
      <c r="E295" s="24">
        <f>C295-'Derived 5Y Spreads'!G260</f>
        <v>-6</v>
      </c>
      <c r="F295" s="24">
        <f>C295-'Derived 5Y Spreads'!G148</f>
        <v>15.710000000000008</v>
      </c>
      <c r="G295" s="25">
        <f>'Derived 5Y Spreads'!E295</f>
      </c>
      <c r="H295" s="21" t="str">
        <f>'Derived 5Y Spreads'!O295</f>
        <v>stale</v>
      </c>
      <c r="I295" s="26" t="str">
        <f>'Derived 5Y Spreads'!A295</f>
        <v>screenshot-reference-20260824-v1</v>
      </c>
      <c r="J295" s="26" t="str">
        <f>'Derived 5Y Spreads'!D295</f>
        <v>SCREENSHOT.ORCLE.5Y</v>
      </c>
      <c r="K295" s="9"/>
    </row>
    <row r="296" spans="1:11" x14ac:dyDescent="0.25">
      <c r="A296" s="3">
        <v>46244</v>
      </c>
      <c r="B296" s="2" t="s">
        <v>14</v>
      </c>
      <c r="C296" s="18">
        <f>'Derived 5Y Spreads'!G296</f>
        <v>760</v>
      </c>
      <c r="D296" s="19">
        <f>C296-'Derived 5Y Spreads'!G289</f>
        <v>37.5</v>
      </c>
      <c r="E296" s="19">
        <f>C296-'Derived 5Y Spreads'!G261</f>
        <v>-60</v>
      </c>
      <c r="F296" s="19">
        <f>C296-'Derived 5Y Spreads'!G149</f>
        <v>185</v>
      </c>
      <c r="G296" s="20">
        <f>'Derived 5Y Spreads'!E296</f>
      </c>
      <c r="H296" s="21" t="str">
        <f>'Derived 5Y Spreads'!O296</f>
        <v>stale</v>
      </c>
      <c r="I296" s="22" t="str">
        <f>'Derived 5Y Spreads'!A296</f>
        <v>screenshot-reference-20260824-v1</v>
      </c>
      <c r="J296" s="22" t="str">
        <f>'Derived 5Y Spreads'!D296</f>
        <v>SCREENSHOT.COREWEI.5Y</v>
      </c>
      <c r="K296" s="5"/>
    </row>
    <row r="297" spans="1:11" x14ac:dyDescent="0.25">
      <c r="A297" s="7">
        <v>46244</v>
      </c>
      <c r="B297" s="6" t="s">
        <v>17</v>
      </c>
      <c r="C297" s="23">
        <f>'Derived 5Y Spreads'!G297</f>
        <v>76</v>
      </c>
      <c r="D297" s="24">
        <f>C297-'Derived 5Y Spreads'!G290</f>
        <v>6</v>
      </c>
      <c r="E297" s="24">
        <f>C297-'Derived 5Y Spreads'!G262</f>
        <v>2</v>
      </c>
      <c r="F297" s="24">
        <f>C297-'Derived 5Y Spreads'!G150</f>
        <v>27</v>
      </c>
      <c r="G297" s="25">
        <f>'Derived 5Y Spreads'!E297</f>
      </c>
      <c r="H297" s="21" t="str">
        <f>'Derived 5Y Spreads'!O297</f>
        <v>stale</v>
      </c>
      <c r="I297" s="26" t="str">
        <f>'Derived 5Y Spreads'!A297</f>
        <v>screenshot-reference-20260824-v1</v>
      </c>
      <c r="J297" s="26" t="str">
        <f>'Derived 5Y Spreads'!D297</f>
        <v>SCREENSHOT.NVIDIA.5Y</v>
      </c>
      <c r="K297" s="9"/>
    </row>
    <row r="298" spans="1:11" x14ac:dyDescent="0.25">
      <c r="A298" s="3">
        <v>46244</v>
      </c>
      <c r="B298" s="2" t="s">
        <v>20</v>
      </c>
      <c r="C298" s="18">
        <f>'Derived 5Y Spreads'!G298</f>
        <v>57</v>
      </c>
      <c r="D298" s="19">
        <f>C298-'Derived 5Y Spreads'!G291</f>
        <v>2</v>
      </c>
      <c r="E298" s="19">
        <f>C298-'Derived 5Y Spreads'!G263</f>
        <v>0</v>
      </c>
      <c r="F298" s="19">
        <f>C298-'Derived 5Y Spreads'!G151</f>
        <v>0</v>
      </c>
      <c r="G298" s="20">
        <f>'Derived 5Y Spreads'!E298</f>
      </c>
      <c r="H298" s="21" t="str">
        <f>'Derived 5Y Spreads'!O298</f>
        <v>stale</v>
      </c>
      <c r="I298" s="22" t="str">
        <f>'Derived 5Y Spreads'!A298</f>
        <v>screenshot-reference-20260824-v1</v>
      </c>
      <c r="J298" s="22" t="str">
        <f>'Derived 5Y Spreads'!D298</f>
        <v>SCREENSHOT.AMZN.5Y</v>
      </c>
      <c r="K298" s="5"/>
    </row>
    <row r="299" spans="1:11" x14ac:dyDescent="0.25">
      <c r="A299" s="7">
        <v>46244</v>
      </c>
      <c r="B299" s="6" t="s">
        <v>23</v>
      </c>
      <c r="C299" s="23">
        <f>'Derived 5Y Spreads'!G299</f>
        <v>53</v>
      </c>
      <c r="D299" s="24">
        <f>C299-'Derived 5Y Spreads'!G292</f>
        <v>-2</v>
      </c>
      <c r="E299" s="24">
        <f>C299-'Derived 5Y Spreads'!G264</f>
        <v>-3</v>
      </c>
      <c r="F299" s="24">
        <f>C299-'Derived 5Y Spreads'!G152</f>
        <v>-4</v>
      </c>
      <c r="G299" s="25">
        <f>'Derived 5Y Spreads'!E299</f>
      </c>
      <c r="H299" s="21" t="str">
        <f>'Derived 5Y Spreads'!O299</f>
        <v>stale</v>
      </c>
      <c r="I299" s="26" t="str">
        <f>'Derived 5Y Spreads'!A299</f>
        <v>screenshot-reference-20260824-v1</v>
      </c>
      <c r="J299" s="26" t="str">
        <f>'Derived 5Y Spreads'!D299</f>
        <v>SCREENSHOT.ALPHINC.5Y</v>
      </c>
      <c r="K299" s="9"/>
    </row>
    <row r="300" spans="1:11" x14ac:dyDescent="0.25">
      <c r="A300" s="3">
        <v>46244</v>
      </c>
      <c r="B300" s="2" t="s">
        <v>26</v>
      </c>
      <c r="C300" s="18">
        <f>'Derived 5Y Spreads'!G300</f>
        <v>43.5</v>
      </c>
      <c r="D300" s="19">
        <f>C300-'Derived 5Y Spreads'!G293</f>
        <v>-2.5</v>
      </c>
      <c r="E300" s="19">
        <f>C300-'Derived 5Y Spreads'!G265</f>
        <v>-3.5</v>
      </c>
      <c r="F300" s="19">
        <f>C300-'Derived 5Y Spreads'!G153</f>
        <v>-1.5</v>
      </c>
      <c r="G300" s="20">
        <f>'Derived 5Y Spreads'!E300</f>
      </c>
      <c r="H300" s="21" t="str">
        <f>'Derived 5Y Spreads'!O300</f>
        <v>stale</v>
      </c>
      <c r="I300" s="22" t="str">
        <f>'Derived 5Y Spreads'!A300</f>
        <v>screenshot-reference-20260824-v1</v>
      </c>
      <c r="J300" s="22" t="str">
        <f>'Derived 5Y Spreads'!D300</f>
        <v>SCREENSHOT.MSFT.5Y</v>
      </c>
      <c r="K300" s="5"/>
    </row>
    <row r="301" spans="1:11" x14ac:dyDescent="0.25">
      <c r="A301" s="7">
        <v>46244</v>
      </c>
      <c r="B301" s="6" t="s">
        <v>29</v>
      </c>
      <c r="C301" s="23">
        <f>'Derived 5Y Spreads'!G301</f>
        <v>86</v>
      </c>
      <c r="D301" s="24">
        <f>C301-'Derived 5Y Spreads'!G294</f>
        <v>1.2900000000000063</v>
      </c>
      <c r="E301" s="24">
        <f>C301-'Derived 5Y Spreads'!G266</f>
        <v>3</v>
      </c>
      <c r="F301" s="24">
        <f>C301-'Derived 5Y Spreads'!G154</f>
        <v>11.290000000000006</v>
      </c>
      <c r="G301" s="25">
        <f>'Derived 5Y Spreads'!E301</f>
      </c>
      <c r="H301" s="21" t="str">
        <f>'Derived 5Y Spreads'!O301</f>
        <v>stale</v>
      </c>
      <c r="I301" s="26" t="str">
        <f>'Derived 5Y Spreads'!A301</f>
        <v>screenshot-reference-20260824-v1</v>
      </c>
      <c r="J301" s="26" t="str">
        <f>'Derived 5Y Spreads'!D301</f>
        <v>SCREENSHOT.METAPL.5Y</v>
      </c>
      <c r="K301" s="9"/>
    </row>
    <row r="302" spans="1:11" x14ac:dyDescent="0.25">
      <c r="A302" s="3">
        <v>46245</v>
      </c>
      <c r="B302" s="2" t="s">
        <v>9</v>
      </c>
      <c r="C302" s="18">
        <f>'Derived 5Y Spreads'!G302</f>
        <v>196.33</v>
      </c>
      <c r="D302" s="19">
        <f>C302-'Derived 5Y Spreads'!G295</f>
        <v>1.3300000000000125</v>
      </c>
      <c r="E302" s="19">
        <f>C302-'Derived 5Y Spreads'!G267</f>
        <v>-0.6699999999999875</v>
      </c>
      <c r="F302" s="19">
        <f>C302-'Derived 5Y Spreads'!G148</f>
        <v>17.04000000000002</v>
      </c>
      <c r="G302" s="20">
        <f>'Derived 5Y Spreads'!E302</f>
      </c>
      <c r="H302" s="21" t="str">
        <f>'Derived 5Y Spreads'!O302</f>
        <v>stale</v>
      </c>
      <c r="I302" s="22" t="str">
        <f>'Derived 5Y Spreads'!A302</f>
        <v>screenshot-reference-20260824-v1</v>
      </c>
      <c r="J302" s="22" t="str">
        <f>'Derived 5Y Spreads'!D302</f>
        <v>SCREENSHOT.ORCLE.5Y</v>
      </c>
      <c r="K302" s="5"/>
    </row>
    <row r="303" spans="1:11" x14ac:dyDescent="0.25">
      <c r="A303" s="7">
        <v>46245</v>
      </c>
      <c r="B303" s="6" t="s">
        <v>14</v>
      </c>
      <c r="C303" s="23">
        <f>'Derived 5Y Spreads'!G303</f>
        <v>755</v>
      </c>
      <c r="D303" s="24">
        <f>C303-'Derived 5Y Spreads'!G296</f>
        <v>-5</v>
      </c>
      <c r="E303" s="24">
        <f>C303-'Derived 5Y Spreads'!G268</f>
        <v>-28.33000000000004</v>
      </c>
      <c r="F303" s="24">
        <f>C303-'Derived 5Y Spreads'!G149</f>
        <v>180</v>
      </c>
      <c r="G303" s="25">
        <f>'Derived 5Y Spreads'!E303</f>
      </c>
      <c r="H303" s="21" t="str">
        <f>'Derived 5Y Spreads'!O303</f>
        <v>stale</v>
      </c>
      <c r="I303" s="26" t="str">
        <f>'Derived 5Y Spreads'!A303</f>
        <v>screenshot-reference-20260824-v1</v>
      </c>
      <c r="J303" s="26" t="str">
        <f>'Derived 5Y Spreads'!D303</f>
        <v>SCREENSHOT.COREWEI.5Y</v>
      </c>
      <c r="K303" s="9"/>
    </row>
    <row r="304" spans="1:11" x14ac:dyDescent="0.25">
      <c r="A304" s="3">
        <v>46245</v>
      </c>
      <c r="B304" s="2" t="s">
        <v>17</v>
      </c>
      <c r="C304" s="18">
        <f>'Derived 5Y Spreads'!G304</f>
        <v>74.67</v>
      </c>
      <c r="D304" s="19">
        <f>C304-'Derived 5Y Spreads'!G297</f>
        <v>-1.3299999999999983</v>
      </c>
      <c r="E304" s="19">
        <f>C304-'Derived 5Y Spreads'!G269</f>
        <v>2.6700000000000017</v>
      </c>
      <c r="F304" s="19">
        <f>C304-'Derived 5Y Spreads'!G150</f>
        <v>25.67</v>
      </c>
      <c r="G304" s="20">
        <f>'Derived 5Y Spreads'!E304</f>
      </c>
      <c r="H304" s="21" t="str">
        <f>'Derived 5Y Spreads'!O304</f>
        <v>stale</v>
      </c>
      <c r="I304" s="22" t="str">
        <f>'Derived 5Y Spreads'!A304</f>
        <v>screenshot-reference-20260824-v1</v>
      </c>
      <c r="J304" s="22" t="str">
        <f>'Derived 5Y Spreads'!D304</f>
        <v>SCREENSHOT.NVIDIA.5Y</v>
      </c>
      <c r="K304" s="5"/>
    </row>
    <row r="305" spans="1:11" x14ac:dyDescent="0.25">
      <c r="A305" s="7">
        <v>46245</v>
      </c>
      <c r="B305" s="6" t="s">
        <v>20</v>
      </c>
      <c r="C305" s="23">
        <f>'Derived 5Y Spreads'!G305</f>
        <v>56</v>
      </c>
      <c r="D305" s="24">
        <f>C305-'Derived 5Y Spreads'!G298</f>
        <v>-1</v>
      </c>
      <c r="E305" s="24">
        <f>C305-'Derived 5Y Spreads'!G270</f>
        <v>-0.5</v>
      </c>
      <c r="F305" s="24">
        <f>C305-'Derived 5Y Spreads'!G151</f>
        <v>-1</v>
      </c>
      <c r="G305" s="25">
        <f>'Derived 5Y Spreads'!E305</f>
      </c>
      <c r="H305" s="21" t="str">
        <f>'Derived 5Y Spreads'!O305</f>
        <v>stale</v>
      </c>
      <c r="I305" s="26" t="str">
        <f>'Derived 5Y Spreads'!A305</f>
        <v>screenshot-reference-20260824-v1</v>
      </c>
      <c r="J305" s="26" t="str">
        <f>'Derived 5Y Spreads'!D305</f>
        <v>SCREENSHOT.AMZN.5Y</v>
      </c>
      <c r="K305" s="9"/>
    </row>
    <row r="306" spans="1:11" x14ac:dyDescent="0.25">
      <c r="A306" s="3">
        <v>46245</v>
      </c>
      <c r="B306" s="2" t="s">
        <v>23</v>
      </c>
      <c r="C306" s="18">
        <f>'Derived 5Y Spreads'!G306</f>
        <v>52.33</v>
      </c>
      <c r="D306" s="19">
        <f>C306-'Derived 5Y Spreads'!G299</f>
        <v>-0.6700000000000017</v>
      </c>
      <c r="E306" s="19">
        <f>C306-'Derived 5Y Spreads'!G271</f>
        <v>-3.4200000000000017</v>
      </c>
      <c r="F306" s="19">
        <f>C306-'Derived 5Y Spreads'!G152</f>
        <v>-4.670000000000002</v>
      </c>
      <c r="G306" s="20">
        <f>'Derived 5Y Spreads'!E306</f>
      </c>
      <c r="H306" s="21" t="str">
        <f>'Derived 5Y Spreads'!O306</f>
        <v>stale</v>
      </c>
      <c r="I306" s="22" t="str">
        <f>'Derived 5Y Spreads'!A306</f>
        <v>screenshot-reference-20260824-v1</v>
      </c>
      <c r="J306" s="22" t="str">
        <f>'Derived 5Y Spreads'!D306</f>
        <v>SCREENSHOT.ALPHINC.5Y</v>
      </c>
      <c r="K306" s="5"/>
    </row>
    <row r="307" spans="1:11" x14ac:dyDescent="0.25">
      <c r="A307" s="7">
        <v>46245</v>
      </c>
      <c r="B307" s="6" t="s">
        <v>26</v>
      </c>
      <c r="C307" s="23">
        <f>'Derived 5Y Spreads'!G307</f>
        <v>42.67</v>
      </c>
      <c r="D307" s="24">
        <f>C307-'Derived 5Y Spreads'!G300</f>
        <v>-0.8299999999999983</v>
      </c>
      <c r="E307" s="24">
        <f>C307-'Derived 5Y Spreads'!G272</f>
        <v>-4.079999999999998</v>
      </c>
      <c r="F307" s="24">
        <f>C307-'Derived 5Y Spreads'!G153</f>
        <v>-2.3299999999999983</v>
      </c>
      <c r="G307" s="25">
        <f>'Derived 5Y Spreads'!E307</f>
      </c>
      <c r="H307" s="21" t="str">
        <f>'Derived 5Y Spreads'!O307</f>
        <v>stale</v>
      </c>
      <c r="I307" s="26" t="str">
        <f>'Derived 5Y Spreads'!A307</f>
        <v>screenshot-reference-20260824-v1</v>
      </c>
      <c r="J307" s="26" t="str">
        <f>'Derived 5Y Spreads'!D307</f>
        <v>SCREENSHOT.MSFT.5Y</v>
      </c>
      <c r="K307" s="9"/>
    </row>
    <row r="308" spans="1:11" x14ac:dyDescent="0.25">
      <c r="A308" s="3">
        <v>46245</v>
      </c>
      <c r="B308" s="2" t="s">
        <v>29</v>
      </c>
      <c r="C308" s="18">
        <f>'Derived 5Y Spreads'!G308</f>
        <v>84.5</v>
      </c>
      <c r="D308" s="19">
        <f>C308-'Derived 5Y Spreads'!G301</f>
        <v>-1.5</v>
      </c>
      <c r="E308" s="19">
        <f>C308-'Derived 5Y Spreads'!G273</f>
        <v>1.0699999999999932</v>
      </c>
      <c r="F308" s="19">
        <f>C308-'Derived 5Y Spreads'!G154</f>
        <v>9.790000000000006</v>
      </c>
      <c r="G308" s="20">
        <f>'Derived 5Y Spreads'!E308</f>
      </c>
      <c r="H308" s="21" t="str">
        <f>'Derived 5Y Spreads'!O308</f>
        <v>stale</v>
      </c>
      <c r="I308" s="22" t="str">
        <f>'Derived 5Y Spreads'!A308</f>
        <v>screenshot-reference-20260824-v1</v>
      </c>
      <c r="J308" s="22" t="str">
        <f>'Derived 5Y Spreads'!D308</f>
        <v>SCREENSHOT.METAPL.5Y</v>
      </c>
      <c r="K308" s="5"/>
    </row>
    <row r="309" spans="1:11" x14ac:dyDescent="0.25">
      <c r="A309" s="7">
        <v>46246</v>
      </c>
      <c r="B309" s="6" t="s">
        <v>9</v>
      </c>
      <c r="C309" s="23">
        <f>'Derived 5Y Spreads'!G309</f>
        <v>197.67</v>
      </c>
      <c r="D309" s="24">
        <f>C309-'Derived 5Y Spreads'!G302</f>
        <v>1.339999999999975</v>
      </c>
      <c r="E309" s="24">
        <f>C309-'Derived 5Y Spreads'!G274</f>
        <v>4.6699999999999875</v>
      </c>
      <c r="F309" s="24">
        <f>C309-'Derived 5Y Spreads'!G148</f>
        <v>18.379999999999995</v>
      </c>
      <c r="G309" s="25">
        <f>'Derived 5Y Spreads'!E309</f>
      </c>
      <c r="H309" s="21" t="str">
        <f>'Derived 5Y Spreads'!O309</f>
        <v>stale</v>
      </c>
      <c r="I309" s="26" t="str">
        <f>'Derived 5Y Spreads'!A309</f>
        <v>screenshot-reference-20260824-v1</v>
      </c>
      <c r="J309" s="26" t="str">
        <f>'Derived 5Y Spreads'!D309</f>
        <v>SCREENSHOT.ORCLE.5Y</v>
      </c>
      <c r="K309" s="9"/>
    </row>
    <row r="310" spans="1:11" x14ac:dyDescent="0.25">
      <c r="A310" s="3">
        <v>46246</v>
      </c>
      <c r="B310" s="2" t="s">
        <v>14</v>
      </c>
      <c r="C310" s="18">
        <f>'Derived 5Y Spreads'!G310</f>
        <v>750</v>
      </c>
      <c r="D310" s="19">
        <f>C310-'Derived 5Y Spreads'!G303</f>
        <v>-5</v>
      </c>
      <c r="E310" s="19">
        <f>C310-'Derived 5Y Spreads'!G275</f>
        <v>3.330000000000041</v>
      </c>
      <c r="F310" s="19">
        <f>C310-'Derived 5Y Spreads'!G149</f>
        <v>175</v>
      </c>
      <c r="G310" s="20">
        <f>'Derived 5Y Spreads'!E310</f>
      </c>
      <c r="H310" s="21" t="str">
        <f>'Derived 5Y Spreads'!O310</f>
        <v>stale</v>
      </c>
      <c r="I310" s="22" t="str">
        <f>'Derived 5Y Spreads'!A310</f>
        <v>screenshot-reference-20260824-v1</v>
      </c>
      <c r="J310" s="22" t="str">
        <f>'Derived 5Y Spreads'!D310</f>
        <v>SCREENSHOT.COREWEI.5Y</v>
      </c>
      <c r="K310" s="5"/>
    </row>
    <row r="311" spans="1:11" x14ac:dyDescent="0.25">
      <c r="A311" s="7">
        <v>46246</v>
      </c>
      <c r="B311" s="6" t="s">
        <v>17</v>
      </c>
      <c r="C311" s="23">
        <f>'Derived 5Y Spreads'!G311</f>
        <v>73.33</v>
      </c>
      <c r="D311" s="24">
        <f>C311-'Derived 5Y Spreads'!G304</f>
        <v>-1.3400000000000034</v>
      </c>
      <c r="E311" s="24">
        <f>C311-'Derived 5Y Spreads'!G276</f>
        <v>3.3299999999999983</v>
      </c>
      <c r="F311" s="24">
        <f>C311-'Derived 5Y Spreads'!G150</f>
        <v>24.33</v>
      </c>
      <c r="G311" s="25">
        <f>'Derived 5Y Spreads'!E311</f>
      </c>
      <c r="H311" s="21" t="str">
        <f>'Derived 5Y Spreads'!O311</f>
        <v>stale</v>
      </c>
      <c r="I311" s="26" t="str">
        <f>'Derived 5Y Spreads'!A311</f>
        <v>screenshot-reference-20260824-v1</v>
      </c>
      <c r="J311" s="26" t="str">
        <f>'Derived 5Y Spreads'!D311</f>
        <v>SCREENSHOT.NVIDIA.5Y</v>
      </c>
      <c r="K311" s="9"/>
    </row>
    <row r="312" spans="1:11" x14ac:dyDescent="0.25">
      <c r="A312" s="3">
        <v>46246</v>
      </c>
      <c r="B312" s="2" t="s">
        <v>20</v>
      </c>
      <c r="C312" s="18">
        <f>'Derived 5Y Spreads'!G312</f>
        <v>55</v>
      </c>
      <c r="D312" s="19">
        <f>C312-'Derived 5Y Spreads'!G305</f>
        <v>-1</v>
      </c>
      <c r="E312" s="19">
        <f>C312-'Derived 5Y Spreads'!G277</f>
        <v>-1</v>
      </c>
      <c r="F312" s="19">
        <f>C312-'Derived 5Y Spreads'!G151</f>
        <v>-2</v>
      </c>
      <c r="G312" s="20">
        <f>'Derived 5Y Spreads'!E312</f>
      </c>
      <c r="H312" s="21" t="str">
        <f>'Derived 5Y Spreads'!O312</f>
        <v>stale</v>
      </c>
      <c r="I312" s="22" t="str">
        <f>'Derived 5Y Spreads'!A312</f>
        <v>screenshot-reference-20260824-v1</v>
      </c>
      <c r="J312" s="22" t="str">
        <f>'Derived 5Y Spreads'!D312</f>
        <v>SCREENSHOT.AMZN.5Y</v>
      </c>
      <c r="K312" s="5"/>
    </row>
    <row r="313" spans="1:11" x14ac:dyDescent="0.25">
      <c r="A313" s="7">
        <v>46246</v>
      </c>
      <c r="B313" s="6" t="s">
        <v>23</v>
      </c>
      <c r="C313" s="23">
        <f>'Derived 5Y Spreads'!G313</f>
        <v>51.67</v>
      </c>
      <c r="D313" s="24">
        <f>C313-'Derived 5Y Spreads'!G306</f>
        <v>-0.6599999999999966</v>
      </c>
      <c r="E313" s="24">
        <f>C313-'Derived 5Y Spreads'!G278</f>
        <v>-3.8299999999999983</v>
      </c>
      <c r="F313" s="24">
        <f>C313-'Derived 5Y Spreads'!G152</f>
        <v>-5.329999999999998</v>
      </c>
      <c r="G313" s="25">
        <f>'Derived 5Y Spreads'!E313</f>
      </c>
      <c r="H313" s="21" t="str">
        <f>'Derived 5Y Spreads'!O313</f>
        <v>stale</v>
      </c>
      <c r="I313" s="26" t="str">
        <f>'Derived 5Y Spreads'!A313</f>
        <v>screenshot-reference-20260824-v1</v>
      </c>
      <c r="J313" s="26" t="str">
        <f>'Derived 5Y Spreads'!D313</f>
        <v>SCREENSHOT.ALPHINC.5Y</v>
      </c>
      <c r="K313" s="9"/>
    </row>
    <row r="314" spans="1:11" x14ac:dyDescent="0.25">
      <c r="A314" s="3">
        <v>46246</v>
      </c>
      <c r="B314" s="2" t="s">
        <v>26</v>
      </c>
      <c r="C314" s="18">
        <f>'Derived 5Y Spreads'!G314</f>
        <v>41.83</v>
      </c>
      <c r="D314" s="19">
        <f>C314-'Derived 5Y Spreads'!G307</f>
        <v>-0.8400000000000034</v>
      </c>
      <c r="E314" s="19">
        <f>C314-'Derived 5Y Spreads'!G279</f>
        <v>-4.670000000000002</v>
      </c>
      <c r="F314" s="19">
        <f>C314-'Derived 5Y Spreads'!G153</f>
        <v>-3.1700000000000017</v>
      </c>
      <c r="G314" s="20">
        <f>'Derived 5Y Spreads'!E314</f>
      </c>
      <c r="H314" s="21" t="str">
        <f>'Derived 5Y Spreads'!O314</f>
        <v>stale</v>
      </c>
      <c r="I314" s="22" t="str">
        <f>'Derived 5Y Spreads'!A314</f>
        <v>screenshot-reference-20260824-v1</v>
      </c>
      <c r="J314" s="22" t="str">
        <f>'Derived 5Y Spreads'!D314</f>
        <v>SCREENSHOT.MSFT.5Y</v>
      </c>
      <c r="K314" s="5"/>
    </row>
    <row r="315" spans="1:11" x14ac:dyDescent="0.25">
      <c r="A315" s="7">
        <v>46246</v>
      </c>
      <c r="B315" s="6" t="s">
        <v>29</v>
      </c>
      <c r="C315" s="23">
        <f>'Derived 5Y Spreads'!G315</f>
        <v>83</v>
      </c>
      <c r="D315" s="24">
        <f>C315-'Derived 5Y Spreads'!G308</f>
        <v>-1.5</v>
      </c>
      <c r="E315" s="24">
        <f>C315-'Derived 5Y Spreads'!G280</f>
        <v>-0.8599999999999994</v>
      </c>
      <c r="F315" s="24">
        <f>C315-'Derived 5Y Spreads'!G154</f>
        <v>8.290000000000006</v>
      </c>
      <c r="G315" s="25">
        <f>'Derived 5Y Spreads'!E315</f>
      </c>
      <c r="H315" s="21" t="str">
        <f>'Derived 5Y Spreads'!O315</f>
        <v>stale</v>
      </c>
      <c r="I315" s="26" t="str">
        <f>'Derived 5Y Spreads'!A315</f>
        <v>screenshot-reference-20260824-v1</v>
      </c>
      <c r="J315" s="26" t="str">
        <f>'Derived 5Y Spreads'!D315</f>
        <v>SCREENSHOT.METAPL.5Y</v>
      </c>
      <c r="K315" s="9"/>
    </row>
    <row r="316" spans="1:11" x14ac:dyDescent="0.25">
      <c r="A316" s="3">
        <v>46247</v>
      </c>
      <c r="B316" s="2" t="s">
        <v>9</v>
      </c>
      <c r="C316" s="18">
        <f>'Derived 5Y Spreads'!G316</f>
        <v>199</v>
      </c>
      <c r="D316" s="19">
        <f>C316-'Derived 5Y Spreads'!G309</f>
        <v>1.3300000000000125</v>
      </c>
      <c r="E316" s="19">
        <f>C316-'Derived 5Y Spreads'!G281</f>
        <v>10</v>
      </c>
      <c r="F316" s="19">
        <f>C316-'Derived 5Y Spreads'!G155</f>
        <v>12</v>
      </c>
      <c r="G316" s="20">
        <f>'Derived 5Y Spreads'!E316</f>
      </c>
      <c r="H316" s="21" t="str">
        <f>'Derived 5Y Spreads'!O316</f>
        <v>stale</v>
      </c>
      <c r="I316" s="22" t="str">
        <f>'Derived 5Y Spreads'!A316</f>
        <v>screenshot-reference-20260824-v1</v>
      </c>
      <c r="J316" s="22" t="str">
        <f>'Derived 5Y Spreads'!D316</f>
        <v>SCREENSHOT.ORCLE.5Y</v>
      </c>
      <c r="K316" s="5"/>
    </row>
    <row r="317" spans="1:11" x14ac:dyDescent="0.25">
      <c r="A317" s="7">
        <v>46247</v>
      </c>
      <c r="B317" s="6" t="s">
        <v>14</v>
      </c>
      <c r="C317" s="23">
        <f>'Derived 5Y Spreads'!G317</f>
        <v>745</v>
      </c>
      <c r="D317" s="24">
        <f>C317-'Derived 5Y Spreads'!G310</f>
        <v>-5</v>
      </c>
      <c r="E317" s="24">
        <f>C317-'Derived 5Y Spreads'!G282</f>
        <v>35</v>
      </c>
      <c r="F317" s="24">
        <f>C317-'Derived 5Y Spreads'!G156</f>
        <v>125</v>
      </c>
      <c r="G317" s="25">
        <f>'Derived 5Y Spreads'!E317</f>
      </c>
      <c r="H317" s="21" t="str">
        <f>'Derived 5Y Spreads'!O317</f>
        <v>stale</v>
      </c>
      <c r="I317" s="26" t="str">
        <f>'Derived 5Y Spreads'!A317</f>
        <v>screenshot-reference-20260824-v1</v>
      </c>
      <c r="J317" s="26" t="str">
        <f>'Derived 5Y Spreads'!D317</f>
        <v>SCREENSHOT.COREWEI.5Y</v>
      </c>
      <c r="K317" s="9"/>
    </row>
    <row r="318" spans="1:11" x14ac:dyDescent="0.25">
      <c r="A318" s="3">
        <v>46247</v>
      </c>
      <c r="B318" s="2" t="s">
        <v>17</v>
      </c>
      <c r="C318" s="18">
        <f>'Derived 5Y Spreads'!G318</f>
        <v>72</v>
      </c>
      <c r="D318" s="19">
        <f>C318-'Derived 5Y Spreads'!G311</f>
        <v>-1.3299999999999983</v>
      </c>
      <c r="E318" s="19">
        <f>C318-'Derived 5Y Spreads'!G283</f>
        <v>4</v>
      </c>
      <c r="F318" s="19">
        <f>C318-'Derived 5Y Spreads'!G157</f>
        <v>17</v>
      </c>
      <c r="G318" s="20">
        <f>'Derived 5Y Spreads'!E318</f>
      </c>
      <c r="H318" s="21" t="str">
        <f>'Derived 5Y Spreads'!O318</f>
        <v>stale</v>
      </c>
      <c r="I318" s="22" t="str">
        <f>'Derived 5Y Spreads'!A318</f>
        <v>screenshot-reference-20260824-v1</v>
      </c>
      <c r="J318" s="22" t="str">
        <f>'Derived 5Y Spreads'!D318</f>
        <v>SCREENSHOT.NVIDIA.5Y</v>
      </c>
      <c r="K318" s="5"/>
    </row>
    <row r="319" spans="1:11" x14ac:dyDescent="0.25">
      <c r="A319" s="7">
        <v>46247</v>
      </c>
      <c r="B319" s="6" t="s">
        <v>20</v>
      </c>
      <c r="C319" s="23">
        <f>'Derived 5Y Spreads'!G319</f>
        <v>54</v>
      </c>
      <c r="D319" s="24">
        <f>C319-'Derived 5Y Spreads'!G312</f>
        <v>-1</v>
      </c>
      <c r="E319" s="24">
        <f>C319-'Derived 5Y Spreads'!G284</f>
        <v>-1.5</v>
      </c>
      <c r="F319" s="24">
        <f>C319-'Derived 5Y Spreads'!G158</f>
        <v>-6</v>
      </c>
      <c r="G319" s="25">
        <f>'Derived 5Y Spreads'!E319</f>
      </c>
      <c r="H319" s="21" t="str">
        <f>'Derived 5Y Spreads'!O319</f>
        <v>stale</v>
      </c>
      <c r="I319" s="26" t="str">
        <f>'Derived 5Y Spreads'!A319</f>
        <v>screenshot-reference-20260824-v1</v>
      </c>
      <c r="J319" s="26" t="str">
        <f>'Derived 5Y Spreads'!D319</f>
        <v>SCREENSHOT.AMZN.5Y</v>
      </c>
      <c r="K319" s="9"/>
    </row>
    <row r="320" spans="1:11" x14ac:dyDescent="0.25">
      <c r="A320" s="3">
        <v>46247</v>
      </c>
      <c r="B320" s="2" t="s">
        <v>23</v>
      </c>
      <c r="C320" s="18">
        <f>'Derived 5Y Spreads'!G320</f>
        <v>51</v>
      </c>
      <c r="D320" s="19">
        <f>C320-'Derived 5Y Spreads'!G313</f>
        <v>-0.6700000000000017</v>
      </c>
      <c r="E320" s="19">
        <f>C320-'Derived 5Y Spreads'!G285</f>
        <v>-4.25</v>
      </c>
      <c r="F320" s="19">
        <f>C320-'Derived 5Y Spreads'!G159</f>
        <v>-9</v>
      </c>
      <c r="G320" s="20">
        <f>'Derived 5Y Spreads'!E320</f>
      </c>
      <c r="H320" s="21" t="str">
        <f>'Derived 5Y Spreads'!O320</f>
        <v>stale</v>
      </c>
      <c r="I320" s="22" t="str">
        <f>'Derived 5Y Spreads'!A320</f>
        <v>screenshot-reference-20260824-v1</v>
      </c>
      <c r="J320" s="22" t="str">
        <f>'Derived 5Y Spreads'!D320</f>
        <v>SCREENSHOT.ALPHINC.5Y</v>
      </c>
      <c r="K320" s="5"/>
    </row>
    <row r="321" spans="1:11" x14ac:dyDescent="0.25">
      <c r="A321" s="7">
        <v>46247</v>
      </c>
      <c r="B321" s="6" t="s">
        <v>26</v>
      </c>
      <c r="C321" s="23">
        <f>'Derived 5Y Spreads'!G321</f>
        <v>41</v>
      </c>
      <c r="D321" s="24">
        <f>C321-'Derived 5Y Spreads'!G314</f>
        <v>-0.8299999999999983</v>
      </c>
      <c r="E321" s="24">
        <f>C321-'Derived 5Y Spreads'!G286</f>
        <v>-5.25</v>
      </c>
      <c r="F321" s="24">
        <f>C321-'Derived 5Y Spreads'!G160</f>
        <v>-7</v>
      </c>
      <c r="G321" s="25">
        <f>'Derived 5Y Spreads'!E321</f>
      </c>
      <c r="H321" s="21" t="str">
        <f>'Derived 5Y Spreads'!O321</f>
        <v>stale</v>
      </c>
      <c r="I321" s="26" t="str">
        <f>'Derived 5Y Spreads'!A321</f>
        <v>screenshot-reference-20260824-v1</v>
      </c>
      <c r="J321" s="26" t="str">
        <f>'Derived 5Y Spreads'!D321</f>
        <v>SCREENSHOT.MSFT.5Y</v>
      </c>
      <c r="K321" s="9"/>
    </row>
    <row r="322" spans="1:11" x14ac:dyDescent="0.25">
      <c r="A322" s="3">
        <v>46247</v>
      </c>
      <c r="B322" s="2" t="s">
        <v>29</v>
      </c>
      <c r="C322" s="18">
        <f>'Derived 5Y Spreads'!G322</f>
        <v>81.5</v>
      </c>
      <c r="D322" s="19">
        <f>C322-'Derived 5Y Spreads'!G315</f>
        <v>-1.5</v>
      </c>
      <c r="E322" s="19">
        <f>C322-'Derived 5Y Spreads'!G287</f>
        <v>-2.7900000000000063</v>
      </c>
      <c r="F322" s="19">
        <f>C322-'Derived 5Y Spreads'!G161</f>
        <v>2.5</v>
      </c>
      <c r="G322" s="20">
        <f>'Derived 5Y Spreads'!E322</f>
      </c>
      <c r="H322" s="21" t="str">
        <f>'Derived 5Y Spreads'!O322</f>
        <v>stale</v>
      </c>
      <c r="I322" s="22" t="str">
        <f>'Derived 5Y Spreads'!A322</f>
        <v>screenshot-reference-20260824-v1</v>
      </c>
      <c r="J322" s="22" t="str">
        <f>'Derived 5Y Spreads'!D322</f>
        <v>SCREENSHOT.METAPL.5Y</v>
      </c>
      <c r="K322" s="5"/>
    </row>
    <row r="323" spans="1:11" x14ac:dyDescent="0.25">
      <c r="A323" s="7">
        <v>46248</v>
      </c>
      <c r="B323" s="6" t="s">
        <v>9</v>
      </c>
      <c r="C323" s="23">
        <f>'Derived 5Y Spreads'!G323</f>
        <v>197.25</v>
      </c>
      <c r="D323" s="24">
        <f>C323-'Derived 5Y Spreads'!G316</f>
        <v>-1.75</v>
      </c>
      <c r="E323" s="24">
        <f>C323-'Derived 5Y Spreads'!G288</f>
        <v>6.75</v>
      </c>
      <c r="F323" s="24">
        <f>C323-'Derived 5Y Spreads'!G162</f>
        <v>10.110000000000014</v>
      </c>
      <c r="G323" s="25">
        <f>'Derived 5Y Spreads'!E323</f>
      </c>
      <c r="H323" s="21" t="str">
        <f>'Derived 5Y Spreads'!O323</f>
        <v>stale</v>
      </c>
      <c r="I323" s="26" t="str">
        <f>'Derived 5Y Spreads'!A323</f>
        <v>screenshot-reference-20260824-v1</v>
      </c>
      <c r="J323" s="26" t="str">
        <f>'Derived 5Y Spreads'!D323</f>
        <v>SCREENSHOT.ORCLE.5Y</v>
      </c>
      <c r="K323" s="9"/>
    </row>
    <row r="324" spans="1:11" x14ac:dyDescent="0.25">
      <c r="A324" s="3">
        <v>46248</v>
      </c>
      <c r="B324" s="2" t="s">
        <v>14</v>
      </c>
      <c r="C324" s="18">
        <f>'Derived 5Y Spreads'!G324</f>
        <v>740</v>
      </c>
      <c r="D324" s="19">
        <f>C324-'Derived 5Y Spreads'!G317</f>
        <v>-5</v>
      </c>
      <c r="E324" s="19">
        <f>C324-'Derived 5Y Spreads'!G289</f>
        <v>17.5</v>
      </c>
      <c r="F324" s="19">
        <f>C324-'Derived 5Y Spreads'!G163</f>
        <v>105</v>
      </c>
      <c r="G324" s="20">
        <f>'Derived 5Y Spreads'!E324</f>
      </c>
      <c r="H324" s="21" t="str">
        <f>'Derived 5Y Spreads'!O324</f>
        <v>stale</v>
      </c>
      <c r="I324" s="22" t="str">
        <f>'Derived 5Y Spreads'!A324</f>
        <v>screenshot-reference-20260824-v1</v>
      </c>
      <c r="J324" s="22" t="str">
        <f>'Derived 5Y Spreads'!D324</f>
        <v>SCREENSHOT.COREWEI.5Y</v>
      </c>
      <c r="K324" s="5"/>
    </row>
    <row r="325" spans="1:11" x14ac:dyDescent="0.25">
      <c r="A325" s="7">
        <v>46248</v>
      </c>
      <c r="B325" s="6" t="s">
        <v>17</v>
      </c>
      <c r="C325" s="23">
        <f>'Derived 5Y Spreads'!G325</f>
        <v>74.5</v>
      </c>
      <c r="D325" s="24">
        <f>C325-'Derived 5Y Spreads'!G318</f>
        <v>2.5</v>
      </c>
      <c r="E325" s="24">
        <f>C325-'Derived 5Y Spreads'!G290</f>
        <v>4.5</v>
      </c>
      <c r="F325" s="24">
        <f>C325-'Derived 5Y Spreads'!G164</f>
        <v>17.5</v>
      </c>
      <c r="G325" s="25">
        <f>'Derived 5Y Spreads'!E325</f>
      </c>
      <c r="H325" s="21" t="str">
        <f>'Derived 5Y Spreads'!O325</f>
        <v>stale</v>
      </c>
      <c r="I325" s="26" t="str">
        <f>'Derived 5Y Spreads'!A325</f>
        <v>screenshot-reference-20260824-v1</v>
      </c>
      <c r="J325" s="26" t="str">
        <f>'Derived 5Y Spreads'!D325</f>
        <v>SCREENSHOT.NVIDIA.5Y</v>
      </c>
      <c r="K325" s="9"/>
    </row>
    <row r="326" spans="1:11" x14ac:dyDescent="0.25">
      <c r="A326" s="3">
        <v>46248</v>
      </c>
      <c r="B326" s="2" t="s">
        <v>20</v>
      </c>
      <c r="C326" s="18">
        <f>'Derived 5Y Spreads'!G326</f>
        <v>53</v>
      </c>
      <c r="D326" s="19">
        <f>C326-'Derived 5Y Spreads'!G319</f>
        <v>-1</v>
      </c>
      <c r="E326" s="19">
        <f>C326-'Derived 5Y Spreads'!G291</f>
        <v>-2</v>
      </c>
      <c r="F326" s="19">
        <f>C326-'Derived 5Y Spreads'!G165</f>
        <v>-6.25</v>
      </c>
      <c r="G326" s="20">
        <f>'Derived 5Y Spreads'!E326</f>
      </c>
      <c r="H326" s="21" t="str">
        <f>'Derived 5Y Spreads'!O326</f>
        <v>stale</v>
      </c>
      <c r="I326" s="22" t="str">
        <f>'Derived 5Y Spreads'!A326</f>
        <v>screenshot-reference-20260824-v1</v>
      </c>
      <c r="J326" s="22" t="str">
        <f>'Derived 5Y Spreads'!D326</f>
        <v>SCREENSHOT.AMZN.5Y</v>
      </c>
      <c r="K326" s="5"/>
    </row>
    <row r="327" spans="1:11" x14ac:dyDescent="0.25">
      <c r="A327" s="7">
        <v>46248</v>
      </c>
      <c r="B327" s="6" t="s">
        <v>23</v>
      </c>
      <c r="C327" s="23">
        <f>'Derived 5Y Spreads'!G327</f>
        <v>52.25</v>
      </c>
      <c r="D327" s="24">
        <f>C327-'Derived 5Y Spreads'!G320</f>
        <v>1.25</v>
      </c>
      <c r="E327" s="24">
        <f>C327-'Derived 5Y Spreads'!G292</f>
        <v>-2.75</v>
      </c>
      <c r="F327" s="24">
        <f>C327-'Derived 5Y Spreads'!G166</f>
        <v>-7</v>
      </c>
      <c r="G327" s="25">
        <f>'Derived 5Y Spreads'!E327</f>
      </c>
      <c r="H327" s="21" t="str">
        <f>'Derived 5Y Spreads'!O327</f>
        <v>stale</v>
      </c>
      <c r="I327" s="26" t="str">
        <f>'Derived 5Y Spreads'!A327</f>
        <v>screenshot-reference-20260824-v1</v>
      </c>
      <c r="J327" s="26" t="str">
        <f>'Derived 5Y Spreads'!D327</f>
        <v>SCREENSHOT.ALPHINC.5Y</v>
      </c>
      <c r="K327" s="9"/>
    </row>
    <row r="328" spans="1:11" x14ac:dyDescent="0.25">
      <c r="A328" s="3">
        <v>46248</v>
      </c>
      <c r="B328" s="2" t="s">
        <v>26</v>
      </c>
      <c r="C328" s="18">
        <f>'Derived 5Y Spreads'!G328</f>
        <v>42</v>
      </c>
      <c r="D328" s="19">
        <f>C328-'Derived 5Y Spreads'!G321</f>
        <v>1</v>
      </c>
      <c r="E328" s="19">
        <f>C328-'Derived 5Y Spreads'!G293</f>
        <v>-4</v>
      </c>
      <c r="F328" s="19">
        <f>C328-'Derived 5Y Spreads'!G167</f>
        <v>-5.75</v>
      </c>
      <c r="G328" s="20">
        <f>'Derived 5Y Spreads'!E328</f>
      </c>
      <c r="H328" s="21" t="str">
        <f>'Derived 5Y Spreads'!O328</f>
        <v>stale</v>
      </c>
      <c r="I328" s="22" t="str">
        <f>'Derived 5Y Spreads'!A328</f>
        <v>screenshot-reference-20260824-v1</v>
      </c>
      <c r="J328" s="22" t="str">
        <f>'Derived 5Y Spreads'!D328</f>
        <v>SCREENSHOT.MSFT.5Y</v>
      </c>
      <c r="K328" s="5"/>
    </row>
    <row r="329" spans="1:11" x14ac:dyDescent="0.25">
      <c r="A329" s="7">
        <v>46248</v>
      </c>
      <c r="B329" s="6" t="s">
        <v>29</v>
      </c>
      <c r="C329" s="23">
        <f>'Derived 5Y Spreads'!G329</f>
        <v>80</v>
      </c>
      <c r="D329" s="24">
        <f>C329-'Derived 5Y Spreads'!G322</f>
        <v>-1.5</v>
      </c>
      <c r="E329" s="24">
        <f>C329-'Derived 5Y Spreads'!G294</f>
        <v>-4.709999999999994</v>
      </c>
      <c r="F329" s="24">
        <f>C329-'Derived 5Y Spreads'!G168</f>
        <v>1.75</v>
      </c>
      <c r="G329" s="25">
        <f>'Derived 5Y Spreads'!E329</f>
      </c>
      <c r="H329" s="21" t="str">
        <f>'Derived 5Y Spreads'!O329</f>
        <v>stale</v>
      </c>
      <c r="I329" s="26" t="str">
        <f>'Derived 5Y Spreads'!A329</f>
        <v>screenshot-reference-20260824-v1</v>
      </c>
      <c r="J329" s="26" t="str">
        <f>'Derived 5Y Spreads'!D329</f>
        <v>SCREENSHOT.METAPL.5Y</v>
      </c>
      <c r="K329" s="9"/>
    </row>
    <row r="330" spans="1:11" x14ac:dyDescent="0.25">
      <c r="A330" s="3">
        <v>46251</v>
      </c>
      <c r="B330" s="2" t="s">
        <v>9</v>
      </c>
      <c r="C330" s="18">
        <f>'Derived 5Y Spreads'!G330</f>
        <v>192</v>
      </c>
      <c r="D330" s="19">
        <f>C330-'Derived 5Y Spreads'!G323</f>
        <v>-5.25</v>
      </c>
      <c r="E330" s="19">
        <f>C330-'Derived 5Y Spreads'!G295</f>
        <v>-3</v>
      </c>
      <c r="F330" s="19">
        <f>C330-'Derived 5Y Spreads'!G183</f>
        <v>4.430000000000007</v>
      </c>
      <c r="G330" s="20">
        <f>'Derived 5Y Spreads'!E330</f>
      </c>
      <c r="H330" s="21" t="str">
        <f>'Derived 5Y Spreads'!O330</f>
        <v>stale</v>
      </c>
      <c r="I330" s="22" t="str">
        <f>'Derived 5Y Spreads'!A330</f>
        <v>screenshot-reference-20260824-v1</v>
      </c>
      <c r="J330" s="22" t="str">
        <f>'Derived 5Y Spreads'!D330</f>
        <v>SCREENSHOT.ORCLE.5Y</v>
      </c>
      <c r="K330" s="5"/>
    </row>
    <row r="331" spans="1:11" x14ac:dyDescent="0.25">
      <c r="A331" s="7">
        <v>46251</v>
      </c>
      <c r="B331" s="6" t="s">
        <v>14</v>
      </c>
      <c r="C331" s="23">
        <f>'Derived 5Y Spreads'!G331</f>
        <v>670</v>
      </c>
      <c r="D331" s="24">
        <f>C331-'Derived 5Y Spreads'!G324</f>
        <v>-70</v>
      </c>
      <c r="E331" s="24">
        <f>C331-'Derived 5Y Spreads'!G296</f>
        <v>-90</v>
      </c>
      <c r="F331" s="24">
        <f>C331-'Derived 5Y Spreads'!G184</f>
        <v>-10</v>
      </c>
      <c r="G331" s="25">
        <f>'Derived 5Y Spreads'!E331</f>
      </c>
      <c r="H331" s="21" t="str">
        <f>'Derived 5Y Spreads'!O331</f>
        <v>stale</v>
      </c>
      <c r="I331" s="26" t="str">
        <f>'Derived 5Y Spreads'!A331</f>
        <v>screenshot-reference-20260824-v1</v>
      </c>
      <c r="J331" s="26" t="str">
        <f>'Derived 5Y Spreads'!D331</f>
        <v>SCREENSHOT.COREWEI.5Y</v>
      </c>
      <c r="K331" s="9"/>
    </row>
    <row r="332" spans="1:11" x14ac:dyDescent="0.25">
      <c r="A332" s="3">
        <v>46251</v>
      </c>
      <c r="B332" s="2" t="s">
        <v>17</v>
      </c>
      <c r="C332" s="18">
        <f>'Derived 5Y Spreads'!G332</f>
        <v>82</v>
      </c>
      <c r="D332" s="19">
        <f>C332-'Derived 5Y Spreads'!G325</f>
        <v>7.5</v>
      </c>
      <c r="E332" s="19">
        <f>C332-'Derived 5Y Spreads'!G297</f>
        <v>6</v>
      </c>
      <c r="F332" s="19">
        <f>C332-'Derived 5Y Spreads'!G185</f>
        <v>24</v>
      </c>
      <c r="G332" s="20">
        <f>'Derived 5Y Spreads'!E332</f>
      </c>
      <c r="H332" s="21" t="str">
        <f>'Derived 5Y Spreads'!O332</f>
        <v>stale</v>
      </c>
      <c r="I332" s="22" t="str">
        <f>'Derived 5Y Spreads'!A332</f>
        <v>screenshot-reference-20260824-v1</v>
      </c>
      <c r="J332" s="22" t="str">
        <f>'Derived 5Y Spreads'!D332</f>
        <v>SCREENSHOT.NVIDIA.5Y</v>
      </c>
      <c r="K332" s="5"/>
    </row>
    <row r="333" spans="1:11" x14ac:dyDescent="0.25">
      <c r="A333" s="7">
        <v>46251</v>
      </c>
      <c r="B333" s="6" t="s">
        <v>20</v>
      </c>
      <c r="C333" s="23">
        <f>'Derived 5Y Spreads'!G333</f>
        <v>58.14</v>
      </c>
      <c r="D333" s="24">
        <f>C333-'Derived 5Y Spreads'!G326</f>
        <v>5.140000000000001</v>
      </c>
      <c r="E333" s="24">
        <f>C333-'Derived 5Y Spreads'!G298</f>
        <v>1.1400000000000006</v>
      </c>
      <c r="F333" s="24">
        <f>C333-'Derived 5Y Spreads'!G186</f>
        <v>1.1400000000000006</v>
      </c>
      <c r="G333" s="25">
        <f>'Derived 5Y Spreads'!E333</f>
      </c>
      <c r="H333" s="21" t="str">
        <f>'Derived 5Y Spreads'!O333</f>
        <v>stale</v>
      </c>
      <c r="I333" s="26" t="str">
        <f>'Derived 5Y Spreads'!A333</f>
        <v>screenshot-reference-20260824-v1</v>
      </c>
      <c r="J333" s="26" t="str">
        <f>'Derived 5Y Spreads'!D333</f>
        <v>SCREENSHOT.AMZN.5Y</v>
      </c>
      <c r="K333" s="9"/>
    </row>
    <row r="334" spans="1:11" x14ac:dyDescent="0.25">
      <c r="A334" s="3">
        <v>46251</v>
      </c>
      <c r="B334" s="2" t="s">
        <v>23</v>
      </c>
      <c r="C334" s="18">
        <f>'Derived 5Y Spreads'!G334</f>
        <v>56</v>
      </c>
      <c r="D334" s="19">
        <f>C334-'Derived 5Y Spreads'!G327</f>
        <v>3.75</v>
      </c>
      <c r="E334" s="19">
        <f>C334-'Derived 5Y Spreads'!G299</f>
        <v>3</v>
      </c>
      <c r="F334" s="19">
        <f>C334-'Derived 5Y Spreads'!G187</f>
        <v>-1</v>
      </c>
      <c r="G334" s="20">
        <f>'Derived 5Y Spreads'!E334</f>
      </c>
      <c r="H334" s="21" t="str">
        <f>'Derived 5Y Spreads'!O334</f>
        <v>stale</v>
      </c>
      <c r="I334" s="22" t="str">
        <f>'Derived 5Y Spreads'!A334</f>
        <v>screenshot-reference-20260824-v1</v>
      </c>
      <c r="J334" s="22" t="str">
        <f>'Derived 5Y Spreads'!D334</f>
        <v>SCREENSHOT.ALPHINC.5Y</v>
      </c>
      <c r="K334" s="5"/>
    </row>
    <row r="335" spans="1:11" x14ac:dyDescent="0.25">
      <c r="A335" s="7">
        <v>46251</v>
      </c>
      <c r="B335" s="6" t="s">
        <v>26</v>
      </c>
      <c r="C335" s="23">
        <f>'Derived 5Y Spreads'!G335</f>
        <v>45</v>
      </c>
      <c r="D335" s="24">
        <f>C335-'Derived 5Y Spreads'!G328</f>
        <v>3</v>
      </c>
      <c r="E335" s="24">
        <f>C335-'Derived 5Y Spreads'!G300</f>
        <v>1.5</v>
      </c>
      <c r="F335" s="24">
        <f>C335-'Derived 5Y Spreads'!G188</f>
        <v>-2</v>
      </c>
      <c r="G335" s="25">
        <f>'Derived 5Y Spreads'!E335</f>
      </c>
      <c r="H335" s="21" t="str">
        <f>'Derived 5Y Spreads'!O335</f>
        <v>stale</v>
      </c>
      <c r="I335" s="26" t="str">
        <f>'Derived 5Y Spreads'!A335</f>
        <v>screenshot-reference-20260824-v1</v>
      </c>
      <c r="J335" s="26" t="str">
        <f>'Derived 5Y Spreads'!D335</f>
        <v>SCREENSHOT.MSFT.5Y</v>
      </c>
      <c r="K335" s="9"/>
    </row>
    <row r="336" spans="1:11" x14ac:dyDescent="0.25">
      <c r="A336" s="3">
        <v>46251</v>
      </c>
      <c r="B336" s="2" t="s">
        <v>29</v>
      </c>
      <c r="C336" s="18">
        <f>'Derived 5Y Spreads'!G336</f>
        <v>88.25</v>
      </c>
      <c r="D336" s="19">
        <f>C336-'Derived 5Y Spreads'!G329</f>
        <v>8.25</v>
      </c>
      <c r="E336" s="19">
        <f>C336-'Derived 5Y Spreads'!G301</f>
        <v>2.25</v>
      </c>
      <c r="F336" s="19">
        <f>C336-'Derived 5Y Spreads'!G189</f>
        <v>12.25</v>
      </c>
      <c r="G336" s="20">
        <f>'Derived 5Y Spreads'!E336</f>
      </c>
      <c r="H336" s="21" t="str">
        <f>'Derived 5Y Spreads'!O336</f>
        <v>stale</v>
      </c>
      <c r="I336" s="22" t="str">
        <f>'Derived 5Y Spreads'!A336</f>
        <v>screenshot-reference-20260824-v1</v>
      </c>
      <c r="J336" s="22" t="str">
        <f>'Derived 5Y Spreads'!D336</f>
        <v>SCREENSHOT.METAPL.5Y</v>
      </c>
      <c r="K336" s="5"/>
    </row>
    <row r="337" spans="1:11" x14ac:dyDescent="0.25">
      <c r="A337" s="7">
        <v>46252</v>
      </c>
      <c r="B337" s="6" t="s">
        <v>9</v>
      </c>
      <c r="C337" s="23">
        <f>'Derived 5Y Spreads'!G337</f>
        <v>197.5</v>
      </c>
      <c r="D337" s="24">
        <f>C337-'Derived 5Y Spreads'!G330</f>
        <v>5.5</v>
      </c>
      <c r="E337" s="24">
        <f>C337-'Derived 5Y Spreads'!G302</f>
        <v>1.1699999999999875</v>
      </c>
      <c r="F337" s="24">
        <f>C337-'Derived 5Y Spreads'!G183</f>
        <v>9.930000000000007</v>
      </c>
      <c r="G337" s="25">
        <f>'Derived 5Y Spreads'!E337</f>
      </c>
      <c r="H337" s="21" t="str">
        <f>'Derived 5Y Spreads'!O337</f>
        <v>stale</v>
      </c>
      <c r="I337" s="26" t="str">
        <f>'Derived 5Y Spreads'!A337</f>
        <v>screenshot-reference-20260824-v1</v>
      </c>
      <c r="J337" s="26" t="str">
        <f>'Derived 5Y Spreads'!D337</f>
        <v>SCREENSHOT.ORCLE.5Y</v>
      </c>
      <c r="K337" s="9"/>
    </row>
    <row r="338" spans="1:11" x14ac:dyDescent="0.25">
      <c r="A338" s="3">
        <v>46252</v>
      </c>
      <c r="B338" s="2" t="s">
        <v>14</v>
      </c>
      <c r="C338" s="18">
        <f>'Derived 5Y Spreads'!G338</f>
        <v>700</v>
      </c>
      <c r="D338" s="19">
        <f>C338-'Derived 5Y Spreads'!G331</f>
        <v>30</v>
      </c>
      <c r="E338" s="19">
        <f>C338-'Derived 5Y Spreads'!G303</f>
        <v>-55</v>
      </c>
      <c r="F338" s="19">
        <f>C338-'Derived 5Y Spreads'!G184</f>
        <v>20</v>
      </c>
      <c r="G338" s="20">
        <f>'Derived 5Y Spreads'!E338</f>
      </c>
      <c r="H338" s="21" t="str">
        <f>'Derived 5Y Spreads'!O338</f>
        <v>stale</v>
      </c>
      <c r="I338" s="22" t="str">
        <f>'Derived 5Y Spreads'!A338</f>
        <v>screenshot-reference-20260824-v1</v>
      </c>
      <c r="J338" s="22" t="str">
        <f>'Derived 5Y Spreads'!D338</f>
        <v>SCREENSHOT.COREWEI.5Y</v>
      </c>
      <c r="K338" s="5"/>
    </row>
    <row r="339" spans="1:11" x14ac:dyDescent="0.25">
      <c r="A339" s="7">
        <v>46252</v>
      </c>
      <c r="B339" s="6" t="s">
        <v>17</v>
      </c>
      <c r="C339" s="23">
        <f>'Derived 5Y Spreads'!G339</f>
        <v>83.25</v>
      </c>
      <c r="D339" s="24">
        <f>C339-'Derived 5Y Spreads'!G332</f>
        <v>1.25</v>
      </c>
      <c r="E339" s="24">
        <f>C339-'Derived 5Y Spreads'!G304</f>
        <v>8.579999999999998</v>
      </c>
      <c r="F339" s="24">
        <f>C339-'Derived 5Y Spreads'!G185</f>
        <v>25.25</v>
      </c>
      <c r="G339" s="25">
        <f>'Derived 5Y Spreads'!E339</f>
      </c>
      <c r="H339" s="21" t="str">
        <f>'Derived 5Y Spreads'!O339</f>
        <v>stale</v>
      </c>
      <c r="I339" s="26" t="str">
        <f>'Derived 5Y Spreads'!A339</f>
        <v>screenshot-reference-20260824-v1</v>
      </c>
      <c r="J339" s="26" t="str">
        <f>'Derived 5Y Spreads'!D339</f>
        <v>SCREENSHOT.NVIDIA.5Y</v>
      </c>
      <c r="K339" s="9"/>
    </row>
    <row r="340" spans="1:11" x14ac:dyDescent="0.25">
      <c r="A340" s="3">
        <v>46252</v>
      </c>
      <c r="B340" s="2" t="s">
        <v>20</v>
      </c>
      <c r="C340" s="18">
        <f>'Derived 5Y Spreads'!G340</f>
        <v>59.86</v>
      </c>
      <c r="D340" s="19">
        <f>C340-'Derived 5Y Spreads'!G333</f>
        <v>1.7199999999999989</v>
      </c>
      <c r="E340" s="19">
        <f>C340-'Derived 5Y Spreads'!G305</f>
        <v>3.8599999999999994</v>
      </c>
      <c r="F340" s="19">
        <f>C340-'Derived 5Y Spreads'!G186</f>
        <v>2.8599999999999994</v>
      </c>
      <c r="G340" s="20">
        <f>'Derived 5Y Spreads'!E340</f>
      </c>
      <c r="H340" s="21" t="str">
        <f>'Derived 5Y Spreads'!O340</f>
        <v>stale</v>
      </c>
      <c r="I340" s="22" t="str">
        <f>'Derived 5Y Spreads'!A340</f>
        <v>screenshot-reference-20260824-v1</v>
      </c>
      <c r="J340" s="22" t="str">
        <f>'Derived 5Y Spreads'!D340</f>
        <v>SCREENSHOT.AMZN.5Y</v>
      </c>
      <c r="K340" s="5"/>
    </row>
    <row r="341" spans="1:11" x14ac:dyDescent="0.25">
      <c r="A341" s="7">
        <v>46252</v>
      </c>
      <c r="B341" s="6" t="s">
        <v>23</v>
      </c>
      <c r="C341" s="23">
        <f>'Derived 5Y Spreads'!G341</f>
        <v>56.75</v>
      </c>
      <c r="D341" s="24">
        <f>C341-'Derived 5Y Spreads'!G334</f>
        <v>0.75</v>
      </c>
      <c r="E341" s="24">
        <f>C341-'Derived 5Y Spreads'!G306</f>
        <v>4.420000000000002</v>
      </c>
      <c r="F341" s="24">
        <f>C341-'Derived 5Y Spreads'!G187</f>
        <v>-0.25</v>
      </c>
      <c r="G341" s="25">
        <f>'Derived 5Y Spreads'!E341</f>
      </c>
      <c r="H341" s="21" t="str">
        <f>'Derived 5Y Spreads'!O341</f>
        <v>stale</v>
      </c>
      <c r="I341" s="26" t="str">
        <f>'Derived 5Y Spreads'!A341</f>
        <v>screenshot-reference-20260824-v1</v>
      </c>
      <c r="J341" s="26" t="str">
        <f>'Derived 5Y Spreads'!D341</f>
        <v>SCREENSHOT.ALPHINC.5Y</v>
      </c>
      <c r="K341" s="9"/>
    </row>
    <row r="342" spans="1:11" x14ac:dyDescent="0.25">
      <c r="A342" s="3">
        <v>46252</v>
      </c>
      <c r="B342" s="2" t="s">
        <v>26</v>
      </c>
      <c r="C342" s="18">
        <f>'Derived 5Y Spreads'!G342</f>
        <v>45.75</v>
      </c>
      <c r="D342" s="19">
        <f>C342-'Derived 5Y Spreads'!G335</f>
        <v>0.75</v>
      </c>
      <c r="E342" s="19">
        <f>C342-'Derived 5Y Spreads'!G307</f>
        <v>3.0799999999999983</v>
      </c>
      <c r="F342" s="19">
        <f>C342-'Derived 5Y Spreads'!G188</f>
        <v>-1.25</v>
      </c>
      <c r="G342" s="20">
        <f>'Derived 5Y Spreads'!E342</f>
      </c>
      <c r="H342" s="21" t="str">
        <f>'Derived 5Y Spreads'!O342</f>
        <v>stale</v>
      </c>
      <c r="I342" s="22" t="str">
        <f>'Derived 5Y Spreads'!A342</f>
        <v>screenshot-reference-20260824-v1</v>
      </c>
      <c r="J342" s="22" t="str">
        <f>'Derived 5Y Spreads'!D342</f>
        <v>SCREENSHOT.MSFT.5Y</v>
      </c>
      <c r="K342" s="5"/>
    </row>
    <row r="343" spans="1:11" x14ac:dyDescent="0.25">
      <c r="A343" s="7">
        <v>46252</v>
      </c>
      <c r="B343" s="6" t="s">
        <v>29</v>
      </c>
      <c r="C343" s="23">
        <f>'Derived 5Y Spreads'!G343</f>
        <v>91</v>
      </c>
      <c r="D343" s="24">
        <f>C343-'Derived 5Y Spreads'!G336</f>
        <v>2.75</v>
      </c>
      <c r="E343" s="24">
        <f>C343-'Derived 5Y Spreads'!G308</f>
        <v>6.5</v>
      </c>
      <c r="F343" s="24">
        <f>C343-'Derived 5Y Spreads'!G189</f>
        <v>15</v>
      </c>
      <c r="G343" s="25">
        <f>'Derived 5Y Spreads'!E343</f>
      </c>
      <c r="H343" s="21" t="str">
        <f>'Derived 5Y Spreads'!O343</f>
        <v>stale</v>
      </c>
      <c r="I343" s="26" t="str">
        <f>'Derived 5Y Spreads'!A343</f>
        <v>screenshot-reference-20260824-v1</v>
      </c>
      <c r="J343" s="26" t="str">
        <f>'Derived 5Y Spreads'!D343</f>
        <v>SCREENSHOT.METAPL.5Y</v>
      </c>
      <c r="K343" s="9"/>
    </row>
    <row r="344" spans="1:11" x14ac:dyDescent="0.25">
      <c r="A344" s="3">
        <v>46253</v>
      </c>
      <c r="B344" s="2" t="s">
        <v>9</v>
      </c>
      <c r="C344" s="18">
        <f>'Derived 5Y Spreads'!G344</f>
        <v>203</v>
      </c>
      <c r="D344" s="19">
        <f>C344-'Derived 5Y Spreads'!G337</f>
        <v>5.5</v>
      </c>
      <c r="E344" s="19">
        <f>C344-'Derived 5Y Spreads'!G309</f>
        <v>5.3300000000000125</v>
      </c>
      <c r="F344" s="19">
        <f>C344-'Derived 5Y Spreads'!G183</f>
        <v>15.430000000000007</v>
      </c>
      <c r="G344" s="20">
        <f>'Derived 5Y Spreads'!E344</f>
      </c>
      <c r="H344" s="21" t="str">
        <f>'Derived 5Y Spreads'!O344</f>
        <v>stale</v>
      </c>
      <c r="I344" s="22" t="str">
        <f>'Derived 5Y Spreads'!A344</f>
        <v>screenshot-reference-20260824-v1</v>
      </c>
      <c r="J344" s="22" t="str">
        <f>'Derived 5Y Spreads'!D344</f>
        <v>SCREENSHOT.ORCLE.5Y</v>
      </c>
      <c r="K344" s="5"/>
    </row>
    <row r="345" spans="1:11" x14ac:dyDescent="0.25">
      <c r="A345" s="7">
        <v>46253</v>
      </c>
      <c r="B345" s="6" t="s">
        <v>14</v>
      </c>
      <c r="C345" s="23">
        <f>'Derived 5Y Spreads'!G345</f>
        <v>730</v>
      </c>
      <c r="D345" s="24">
        <f>C345-'Derived 5Y Spreads'!G338</f>
        <v>30</v>
      </c>
      <c r="E345" s="24">
        <f>C345-'Derived 5Y Spreads'!G310</f>
        <v>-20</v>
      </c>
      <c r="F345" s="24">
        <f>C345-'Derived 5Y Spreads'!G184</f>
        <v>50</v>
      </c>
      <c r="G345" s="25">
        <f>'Derived 5Y Spreads'!E345</f>
      </c>
      <c r="H345" s="21" t="str">
        <f>'Derived 5Y Spreads'!O345</f>
        <v>stale</v>
      </c>
      <c r="I345" s="26" t="str">
        <f>'Derived 5Y Spreads'!A345</f>
        <v>screenshot-reference-20260824-v1</v>
      </c>
      <c r="J345" s="26" t="str">
        <f>'Derived 5Y Spreads'!D345</f>
        <v>SCREENSHOT.COREWEI.5Y</v>
      </c>
      <c r="K345" s="9"/>
    </row>
    <row r="346" spans="1:11" x14ac:dyDescent="0.25">
      <c r="A346" s="3">
        <v>46253</v>
      </c>
      <c r="B346" s="2" t="s">
        <v>17</v>
      </c>
      <c r="C346" s="18">
        <f>'Derived 5Y Spreads'!G346</f>
        <v>84.5</v>
      </c>
      <c r="D346" s="19">
        <f>C346-'Derived 5Y Spreads'!G339</f>
        <v>1.25</v>
      </c>
      <c r="E346" s="19">
        <f>C346-'Derived 5Y Spreads'!G311</f>
        <v>11.170000000000002</v>
      </c>
      <c r="F346" s="19">
        <f>C346-'Derived 5Y Spreads'!G185</f>
        <v>26.5</v>
      </c>
      <c r="G346" s="20">
        <f>'Derived 5Y Spreads'!E346</f>
      </c>
      <c r="H346" s="21" t="str">
        <f>'Derived 5Y Spreads'!O346</f>
        <v>stale</v>
      </c>
      <c r="I346" s="22" t="str">
        <f>'Derived 5Y Spreads'!A346</f>
        <v>screenshot-reference-20260824-v1</v>
      </c>
      <c r="J346" s="22" t="str">
        <f>'Derived 5Y Spreads'!D346</f>
        <v>SCREENSHOT.NVIDIA.5Y</v>
      </c>
      <c r="K346" s="5"/>
    </row>
    <row r="347" spans="1:11" x14ac:dyDescent="0.25">
      <c r="A347" s="7">
        <v>46253</v>
      </c>
      <c r="B347" s="6" t="s">
        <v>20</v>
      </c>
      <c r="C347" s="23">
        <f>'Derived 5Y Spreads'!G347</f>
        <v>61.57</v>
      </c>
      <c r="D347" s="24">
        <f>C347-'Derived 5Y Spreads'!G340</f>
        <v>1.7100000000000009</v>
      </c>
      <c r="E347" s="24">
        <f>C347-'Derived 5Y Spreads'!G312</f>
        <v>6.57</v>
      </c>
      <c r="F347" s="24">
        <f>C347-'Derived 5Y Spreads'!G186</f>
        <v>4.57</v>
      </c>
      <c r="G347" s="25">
        <f>'Derived 5Y Spreads'!E347</f>
      </c>
      <c r="H347" s="21" t="str">
        <f>'Derived 5Y Spreads'!O347</f>
        <v>stale</v>
      </c>
      <c r="I347" s="26" t="str">
        <f>'Derived 5Y Spreads'!A347</f>
        <v>screenshot-reference-20260824-v1</v>
      </c>
      <c r="J347" s="26" t="str">
        <f>'Derived 5Y Spreads'!D347</f>
        <v>SCREENSHOT.AMZN.5Y</v>
      </c>
      <c r="K347" s="9"/>
    </row>
    <row r="348" spans="1:11" x14ac:dyDescent="0.25">
      <c r="A348" s="3">
        <v>46253</v>
      </c>
      <c r="B348" s="2" t="s">
        <v>23</v>
      </c>
      <c r="C348" s="18">
        <f>'Derived 5Y Spreads'!G348</f>
        <v>57.5</v>
      </c>
      <c r="D348" s="19">
        <f>C348-'Derived 5Y Spreads'!G341</f>
        <v>0.75</v>
      </c>
      <c r="E348" s="19">
        <f>C348-'Derived 5Y Spreads'!G313</f>
        <v>5.829999999999998</v>
      </c>
      <c r="F348" s="19">
        <f>C348-'Derived 5Y Spreads'!G187</f>
        <v>0.5</v>
      </c>
      <c r="G348" s="20">
        <f>'Derived 5Y Spreads'!E348</f>
      </c>
      <c r="H348" s="21" t="str">
        <f>'Derived 5Y Spreads'!O348</f>
        <v>stale</v>
      </c>
      <c r="I348" s="22" t="str">
        <f>'Derived 5Y Spreads'!A348</f>
        <v>screenshot-reference-20260824-v1</v>
      </c>
      <c r="J348" s="22" t="str">
        <f>'Derived 5Y Spreads'!D348</f>
        <v>SCREENSHOT.ALPHINC.5Y</v>
      </c>
      <c r="K348" s="5"/>
    </row>
    <row r="349" spans="1:11" x14ac:dyDescent="0.25">
      <c r="A349" s="7">
        <v>46253</v>
      </c>
      <c r="B349" s="6" t="s">
        <v>26</v>
      </c>
      <c r="C349" s="23">
        <f>'Derived 5Y Spreads'!G349</f>
        <v>46.5</v>
      </c>
      <c r="D349" s="24">
        <f>C349-'Derived 5Y Spreads'!G342</f>
        <v>0.75</v>
      </c>
      <c r="E349" s="24">
        <f>C349-'Derived 5Y Spreads'!G314</f>
        <v>4.670000000000002</v>
      </c>
      <c r="F349" s="24">
        <f>C349-'Derived 5Y Spreads'!G188</f>
        <v>-0.5</v>
      </c>
      <c r="G349" s="25">
        <f>'Derived 5Y Spreads'!E349</f>
      </c>
      <c r="H349" s="21" t="str">
        <f>'Derived 5Y Spreads'!O349</f>
        <v>stale</v>
      </c>
      <c r="I349" s="26" t="str">
        <f>'Derived 5Y Spreads'!A349</f>
        <v>screenshot-reference-20260824-v1</v>
      </c>
      <c r="J349" s="26" t="str">
        <f>'Derived 5Y Spreads'!D349</f>
        <v>SCREENSHOT.MSFT.5Y</v>
      </c>
      <c r="K349" s="9"/>
    </row>
    <row r="350" spans="1:11" x14ac:dyDescent="0.25">
      <c r="A350" s="3">
        <v>46253</v>
      </c>
      <c r="B350" s="2" t="s">
        <v>29</v>
      </c>
      <c r="C350" s="18">
        <f>'Derived 5Y Spreads'!G350</f>
        <v>92.67</v>
      </c>
      <c r="D350" s="19">
        <f>C350-'Derived 5Y Spreads'!G343</f>
        <v>1.6700000000000017</v>
      </c>
      <c r="E350" s="19">
        <f>C350-'Derived 5Y Spreads'!G315</f>
        <v>9.670000000000002</v>
      </c>
      <c r="F350" s="19">
        <f>C350-'Derived 5Y Spreads'!G189</f>
        <v>16.67</v>
      </c>
      <c r="G350" s="20">
        <f>'Derived 5Y Spreads'!E350</f>
      </c>
      <c r="H350" s="21" t="str">
        <f>'Derived 5Y Spreads'!O350</f>
        <v>stale</v>
      </c>
      <c r="I350" s="22" t="str">
        <f>'Derived 5Y Spreads'!A350</f>
        <v>screenshot-reference-20260824-v1</v>
      </c>
      <c r="J350" s="22" t="str">
        <f>'Derived 5Y Spreads'!D350</f>
        <v>SCREENSHOT.METAPL.5Y</v>
      </c>
      <c r="K350" s="5"/>
    </row>
    <row r="351" spans="1:11" x14ac:dyDescent="0.25">
      <c r="A351" s="7">
        <v>46254</v>
      </c>
      <c r="B351" s="6" t="s">
        <v>9</v>
      </c>
      <c r="C351" s="23">
        <f>'Derived 5Y Spreads'!G351</f>
        <v>208.5</v>
      </c>
      <c r="D351" s="24">
        <f>C351-'Derived 5Y Spreads'!G344</f>
        <v>5.5</v>
      </c>
      <c r="E351" s="24">
        <f>C351-'Derived 5Y Spreads'!G316</f>
        <v>9.5</v>
      </c>
      <c r="F351" s="24">
        <f>C351-'Derived 5Y Spreads'!G190</f>
        <v>20.5</v>
      </c>
      <c r="G351" s="25">
        <f>'Derived 5Y Spreads'!E351</f>
      </c>
      <c r="H351" s="21" t="str">
        <f>'Derived 5Y Spreads'!O351</f>
        <v>stale</v>
      </c>
      <c r="I351" s="26" t="str">
        <f>'Derived 5Y Spreads'!A351</f>
        <v>screenshot-reference-20260824-v1</v>
      </c>
      <c r="J351" s="26" t="str">
        <f>'Derived 5Y Spreads'!D351</f>
        <v>SCREENSHOT.ORCLE.5Y</v>
      </c>
      <c r="K351" s="9"/>
    </row>
    <row r="352" spans="1:11" x14ac:dyDescent="0.25">
      <c r="A352" s="3">
        <v>46254</v>
      </c>
      <c r="B352" s="2" t="s">
        <v>14</v>
      </c>
      <c r="C352" s="18">
        <f>'Derived 5Y Spreads'!G352</f>
        <v>760</v>
      </c>
      <c r="D352" s="19">
        <f>C352-'Derived 5Y Spreads'!G345</f>
        <v>30</v>
      </c>
      <c r="E352" s="19">
        <f>C352-'Derived 5Y Spreads'!G317</f>
        <v>15</v>
      </c>
      <c r="F352" s="19">
        <f>C352-'Derived 5Y Spreads'!G191</f>
        <v>72.5</v>
      </c>
      <c r="G352" s="20">
        <f>'Derived 5Y Spreads'!E352</f>
      </c>
      <c r="H352" s="21" t="str">
        <f>'Derived 5Y Spreads'!O352</f>
        <v>stale</v>
      </c>
      <c r="I352" s="22" t="str">
        <f>'Derived 5Y Spreads'!A352</f>
        <v>screenshot-reference-20260824-v1</v>
      </c>
      <c r="J352" s="22" t="str">
        <f>'Derived 5Y Spreads'!D352</f>
        <v>SCREENSHOT.COREWEI.5Y</v>
      </c>
      <c r="K352" s="5"/>
    </row>
    <row r="353" spans="1:11" x14ac:dyDescent="0.25">
      <c r="A353" s="7">
        <v>46254</v>
      </c>
      <c r="B353" s="6" t="s">
        <v>17</v>
      </c>
      <c r="C353" s="23">
        <f>'Derived 5Y Spreads'!G353</f>
        <v>85.75</v>
      </c>
      <c r="D353" s="24">
        <f>C353-'Derived 5Y Spreads'!G346</f>
        <v>1.25</v>
      </c>
      <c r="E353" s="24">
        <f>C353-'Derived 5Y Spreads'!G318</f>
        <v>13.75</v>
      </c>
      <c r="F353" s="24">
        <f>C353-'Derived 5Y Spreads'!G192</f>
        <v>26.75</v>
      </c>
      <c r="G353" s="25">
        <f>'Derived 5Y Spreads'!E353</f>
      </c>
      <c r="H353" s="21" t="str">
        <f>'Derived 5Y Spreads'!O353</f>
        <v>stale</v>
      </c>
      <c r="I353" s="26" t="str">
        <f>'Derived 5Y Spreads'!A353</f>
        <v>screenshot-reference-20260824-v1</v>
      </c>
      <c r="J353" s="26" t="str">
        <f>'Derived 5Y Spreads'!D353</f>
        <v>SCREENSHOT.NVIDIA.5Y</v>
      </c>
      <c r="K353" s="9"/>
    </row>
    <row r="354" spans="1:11" x14ac:dyDescent="0.25">
      <c r="A354" s="3">
        <v>46254</v>
      </c>
      <c r="B354" s="2" t="s">
        <v>20</v>
      </c>
      <c r="C354" s="18">
        <f>'Derived 5Y Spreads'!G354</f>
        <v>63.29</v>
      </c>
      <c r="D354" s="19">
        <f>C354-'Derived 5Y Spreads'!G347</f>
        <v>1.7199999999999989</v>
      </c>
      <c r="E354" s="19">
        <f>C354-'Derived 5Y Spreads'!G319</f>
        <v>9.29</v>
      </c>
      <c r="F354" s="19">
        <f>C354-'Derived 5Y Spreads'!G193</f>
        <v>5.089999999999996</v>
      </c>
      <c r="G354" s="20">
        <f>'Derived 5Y Spreads'!E354</f>
      </c>
      <c r="H354" s="21" t="str">
        <f>'Derived 5Y Spreads'!O354</f>
        <v>stale</v>
      </c>
      <c r="I354" s="22" t="str">
        <f>'Derived 5Y Spreads'!A354</f>
        <v>screenshot-reference-20260824-v1</v>
      </c>
      <c r="J354" s="22" t="str">
        <f>'Derived 5Y Spreads'!D354</f>
        <v>SCREENSHOT.AMZN.5Y</v>
      </c>
      <c r="K354" s="5"/>
    </row>
    <row r="355" spans="1:11" x14ac:dyDescent="0.25">
      <c r="A355" s="7">
        <v>46254</v>
      </c>
      <c r="B355" s="6" t="s">
        <v>23</v>
      </c>
      <c r="C355" s="23">
        <f>'Derived 5Y Spreads'!G355</f>
        <v>58.25</v>
      </c>
      <c r="D355" s="24">
        <f>C355-'Derived 5Y Spreads'!G348</f>
        <v>0.75</v>
      </c>
      <c r="E355" s="24">
        <f>C355-'Derived 5Y Spreads'!G320</f>
        <v>7.25</v>
      </c>
      <c r="F355" s="24">
        <f>C355-'Derived 5Y Spreads'!G194</f>
        <v>-0.25</v>
      </c>
      <c r="G355" s="25">
        <f>'Derived 5Y Spreads'!E355</f>
      </c>
      <c r="H355" s="21" t="str">
        <f>'Derived 5Y Spreads'!O355</f>
        <v>stale</v>
      </c>
      <c r="I355" s="26" t="str">
        <f>'Derived 5Y Spreads'!A355</f>
        <v>screenshot-reference-20260824-v1</v>
      </c>
      <c r="J355" s="26" t="str">
        <f>'Derived 5Y Spreads'!D355</f>
        <v>SCREENSHOT.ALPHINC.5Y</v>
      </c>
      <c r="K355" s="9"/>
    </row>
    <row r="356" spans="1:11" x14ac:dyDescent="0.25">
      <c r="A356" s="3">
        <v>46254</v>
      </c>
      <c r="B356" s="2" t="s">
        <v>26</v>
      </c>
      <c r="C356" s="18">
        <f>'Derived 5Y Spreads'!G356</f>
        <v>47.25</v>
      </c>
      <c r="D356" s="19">
        <f>C356-'Derived 5Y Spreads'!G349</f>
        <v>0.75</v>
      </c>
      <c r="E356" s="19">
        <f>C356-'Derived 5Y Spreads'!G321</f>
        <v>6.25</v>
      </c>
      <c r="F356" s="19">
        <f>C356-'Derived 5Y Spreads'!G195</f>
        <v>-0.3500000000000014</v>
      </c>
      <c r="G356" s="20">
        <f>'Derived 5Y Spreads'!E356</f>
      </c>
      <c r="H356" s="21" t="str">
        <f>'Derived 5Y Spreads'!O356</f>
        <v>stale</v>
      </c>
      <c r="I356" s="22" t="str">
        <f>'Derived 5Y Spreads'!A356</f>
        <v>screenshot-reference-20260824-v1</v>
      </c>
      <c r="J356" s="22" t="str">
        <f>'Derived 5Y Spreads'!D356</f>
        <v>SCREENSHOT.MSFT.5Y</v>
      </c>
      <c r="K356" s="5"/>
    </row>
    <row r="357" spans="1:11" x14ac:dyDescent="0.25">
      <c r="A357" s="7">
        <v>46254</v>
      </c>
      <c r="B357" s="6" t="s">
        <v>29</v>
      </c>
      <c r="C357" s="23">
        <f>'Derived 5Y Spreads'!G357</f>
        <v>94.33</v>
      </c>
      <c r="D357" s="24">
        <f>C357-'Derived 5Y Spreads'!G350</f>
        <v>1.6599999999999966</v>
      </c>
      <c r="E357" s="24">
        <f>C357-'Derived 5Y Spreads'!G322</f>
        <v>12.829999999999998</v>
      </c>
      <c r="F357" s="24">
        <f>C357-'Derived 5Y Spreads'!G196</f>
        <v>16.53</v>
      </c>
      <c r="G357" s="25">
        <f>'Derived 5Y Spreads'!E357</f>
      </c>
      <c r="H357" s="21" t="str">
        <f>'Derived 5Y Spreads'!O357</f>
        <v>stale</v>
      </c>
      <c r="I357" s="26" t="str">
        <f>'Derived 5Y Spreads'!A357</f>
        <v>screenshot-reference-20260824-v1</v>
      </c>
      <c r="J357" s="26" t="str">
        <f>'Derived 5Y Spreads'!D357</f>
        <v>SCREENSHOT.METAPL.5Y</v>
      </c>
      <c r="K357" s="9"/>
    </row>
    <row r="358" spans="1:11" x14ac:dyDescent="0.25">
      <c r="A358" s="3">
        <v>46255</v>
      </c>
      <c r="B358" s="2" t="s">
        <v>9</v>
      </c>
      <c r="C358" s="18">
        <f>'Derived 5Y Spreads'!G358</f>
        <v>214</v>
      </c>
      <c r="D358" s="19">
        <f>C358-'Derived 5Y Spreads'!G351</f>
        <v>5.5</v>
      </c>
      <c r="E358" s="19">
        <f>C358-'Derived 5Y Spreads'!G323</f>
        <v>16.75</v>
      </c>
      <c r="F358" s="19">
        <f>C358-'Derived 5Y Spreads'!G197</f>
        <v>21.75</v>
      </c>
      <c r="G358" s="20">
        <f>'Derived 5Y Spreads'!E358</f>
      </c>
      <c r="H358" s="21" t="str">
        <f>'Derived 5Y Spreads'!O358</f>
        <v>stale</v>
      </c>
      <c r="I358" s="22" t="str">
        <f>'Derived 5Y Spreads'!A358</f>
        <v>screenshot-reference-20260824-v1</v>
      </c>
      <c r="J358" s="22" t="str">
        <f>'Derived 5Y Spreads'!D358</f>
        <v>SCREENSHOT.ORCLE.5Y</v>
      </c>
      <c r="K358" s="5"/>
    </row>
    <row r="359" spans="1:11" x14ac:dyDescent="0.25">
      <c r="A359" s="7">
        <v>46255</v>
      </c>
      <c r="B359" s="6" t="s">
        <v>14</v>
      </c>
      <c r="C359" s="23">
        <f>'Derived 5Y Spreads'!G359</f>
        <v>790</v>
      </c>
      <c r="D359" s="24">
        <f>C359-'Derived 5Y Spreads'!G352</f>
        <v>30</v>
      </c>
      <c r="E359" s="24">
        <f>C359-'Derived 5Y Spreads'!G324</f>
        <v>50</v>
      </c>
      <c r="F359" s="24">
        <f>C359-'Derived 5Y Spreads'!G198</f>
        <v>100</v>
      </c>
      <c r="G359" s="25">
        <f>'Derived 5Y Spreads'!E359</f>
      </c>
      <c r="H359" s="21" t="str">
        <f>'Derived 5Y Spreads'!O359</f>
        <v>stale</v>
      </c>
      <c r="I359" s="26" t="str">
        <f>'Derived 5Y Spreads'!A359</f>
        <v>screenshot-reference-20260824-v1</v>
      </c>
      <c r="J359" s="26" t="str">
        <f>'Derived 5Y Spreads'!D359</f>
        <v>SCREENSHOT.COREWEI.5Y</v>
      </c>
      <c r="K359" s="9"/>
    </row>
    <row r="360" spans="1:11" x14ac:dyDescent="0.25">
      <c r="A360" s="3">
        <v>46255</v>
      </c>
      <c r="B360" s="2" t="s">
        <v>17</v>
      </c>
      <c r="C360" s="18">
        <f>'Derived 5Y Spreads'!G360</f>
        <v>87</v>
      </c>
      <c r="D360" s="19">
        <f>C360-'Derived 5Y Spreads'!G353</f>
        <v>1.25</v>
      </c>
      <c r="E360" s="19">
        <f>C360-'Derived 5Y Spreads'!G325</f>
        <v>12.5</v>
      </c>
      <c r="F360" s="19">
        <f>C360-'Derived 5Y Spreads'!G199</f>
        <v>25.25</v>
      </c>
      <c r="G360" s="20">
        <f>'Derived 5Y Spreads'!E360</f>
      </c>
      <c r="H360" s="21" t="str">
        <f>'Derived 5Y Spreads'!O360</f>
        <v>stale</v>
      </c>
      <c r="I360" s="22" t="str">
        <f>'Derived 5Y Spreads'!A360</f>
        <v>screenshot-reference-20260824-v1</v>
      </c>
      <c r="J360" s="22" t="str">
        <f>'Derived 5Y Spreads'!D360</f>
        <v>SCREENSHOT.NVIDIA.5Y</v>
      </c>
      <c r="K360" s="5"/>
    </row>
    <row r="361" spans="1:11" x14ac:dyDescent="0.25">
      <c r="A361" s="7">
        <v>46255</v>
      </c>
      <c r="B361" s="6" t="s">
        <v>20</v>
      </c>
      <c r="C361" s="23">
        <f>'Derived 5Y Spreads'!G361</f>
        <v>65</v>
      </c>
      <c r="D361" s="24">
        <f>C361-'Derived 5Y Spreads'!G354</f>
        <v>1.7100000000000009</v>
      </c>
      <c r="E361" s="24">
        <f>C361-'Derived 5Y Spreads'!G326</f>
        <v>12</v>
      </c>
      <c r="F361" s="24">
        <f>C361-'Derived 5Y Spreads'!G200</f>
        <v>6.399999999999999</v>
      </c>
      <c r="G361" s="25">
        <f>'Derived 5Y Spreads'!E361</f>
      </c>
      <c r="H361" s="21" t="str">
        <f>'Derived 5Y Spreads'!O361</f>
        <v>stale</v>
      </c>
      <c r="I361" s="26" t="str">
        <f>'Derived 5Y Spreads'!A361</f>
        <v>screenshot-reference-20260824-v1</v>
      </c>
      <c r="J361" s="26" t="str">
        <f>'Derived 5Y Spreads'!D361</f>
        <v>SCREENSHOT.AMZN.5Y</v>
      </c>
      <c r="K361" s="9"/>
    </row>
    <row r="362" spans="1:11" x14ac:dyDescent="0.25">
      <c r="A362" s="3">
        <v>46255</v>
      </c>
      <c r="B362" s="2" t="s">
        <v>23</v>
      </c>
      <c r="C362" s="18">
        <f>'Derived 5Y Spreads'!G362</f>
        <v>59</v>
      </c>
      <c r="D362" s="19">
        <f>C362-'Derived 5Y Spreads'!G355</f>
        <v>0.75</v>
      </c>
      <c r="E362" s="19">
        <f>C362-'Derived 5Y Spreads'!G327</f>
        <v>6.75</v>
      </c>
      <c r="F362" s="19">
        <f>C362-'Derived 5Y Spreads'!G201</f>
        <v>0</v>
      </c>
      <c r="G362" s="20">
        <f>'Derived 5Y Spreads'!E362</f>
      </c>
      <c r="H362" s="21" t="str">
        <f>'Derived 5Y Spreads'!O362</f>
        <v>stale</v>
      </c>
      <c r="I362" s="22" t="str">
        <f>'Derived 5Y Spreads'!A362</f>
        <v>screenshot-reference-20260824-v1</v>
      </c>
      <c r="J362" s="22" t="str">
        <f>'Derived 5Y Spreads'!D362</f>
        <v>SCREENSHOT.ALPHINC.5Y</v>
      </c>
      <c r="K362" s="5"/>
    </row>
    <row r="363" spans="1:11" x14ac:dyDescent="0.25">
      <c r="A363" s="7">
        <v>46255</v>
      </c>
      <c r="B363" s="6" t="s">
        <v>26</v>
      </c>
      <c r="C363" s="23">
        <f>'Derived 5Y Spreads'!G363</f>
        <v>48</v>
      </c>
      <c r="D363" s="24">
        <f>C363-'Derived 5Y Spreads'!G356</f>
        <v>0.75</v>
      </c>
      <c r="E363" s="24">
        <f>C363-'Derived 5Y Spreads'!G328</f>
        <v>6</v>
      </c>
      <c r="F363" s="24">
        <f>C363-'Derived 5Y Spreads'!G202</f>
        <v>0.20000000000000284</v>
      </c>
      <c r="G363" s="25">
        <f>'Derived 5Y Spreads'!E363</f>
      </c>
      <c r="H363" s="21" t="str">
        <f>'Derived 5Y Spreads'!O363</f>
        <v>stale</v>
      </c>
      <c r="I363" s="26" t="str">
        <f>'Derived 5Y Spreads'!A363</f>
        <v>screenshot-reference-20260824-v1</v>
      </c>
      <c r="J363" s="26" t="str">
        <f>'Derived 5Y Spreads'!D363</f>
        <v>SCREENSHOT.MSFT.5Y</v>
      </c>
      <c r="K363" s="9"/>
    </row>
    <row r="364" spans="1:11" x14ac:dyDescent="0.25">
      <c r="A364" s="3">
        <v>46255</v>
      </c>
      <c r="B364" s="2" t="s">
        <v>29</v>
      </c>
      <c r="C364" s="18">
        <f>'Derived 5Y Spreads'!G364</f>
        <v>96</v>
      </c>
      <c r="D364" s="19">
        <f>C364-'Derived 5Y Spreads'!G357</f>
        <v>1.6700000000000017</v>
      </c>
      <c r="E364" s="19">
        <f>C364-'Derived 5Y Spreads'!G329</f>
        <v>16</v>
      </c>
      <c r="F364" s="19">
        <f>C364-'Derived 5Y Spreads'!G203</f>
        <v>17.599999999999994</v>
      </c>
      <c r="G364" s="20">
        <f>'Derived 5Y Spreads'!E364</f>
      </c>
      <c r="H364" s="21" t="str">
        <f>'Derived 5Y Spreads'!O364</f>
        <v>stale</v>
      </c>
      <c r="I364" s="22" t="str">
        <f>'Derived 5Y Spreads'!A364</f>
        <v>screenshot-reference-20260824-v1</v>
      </c>
      <c r="J364" s="22" t="str">
        <f>'Derived 5Y Spreads'!D364</f>
        <v>SCREENSHOT.METAPL.5Y</v>
      </c>
      <c r="K364" s="5"/>
    </row>
    <row r="365" spans="1:11" x14ac:dyDescent="0.25">
      <c r="A365" s="7">
        <v>46258</v>
      </c>
      <c r="B365" s="6" t="s">
        <v>9</v>
      </c>
      <c r="C365" s="23">
        <f>'Derived 5Y Spreads'!G365</f>
        <v>223.30088522481057</v>
      </c>
      <c r="D365" s="24">
        <f>C365-'Derived 5Y Spreads'!G358</f>
        <v>9.300885224810571</v>
      </c>
      <c r="E365" s="24">
        <f>C365-'Derived 5Y Spreads'!G330</f>
        <v>31.30088522481057</v>
      </c>
      <c r="F365" s="24">
        <f>C365-'Derived 5Y Spreads'!G218</f>
        <v>18.30088522481057</v>
      </c>
      <c r="G365" s="25">
        <f>'Derived 5Y Spreads'!E365</f>
        <v>95.0309</v>
      </c>
      <c r="H365" s="27" t="str">
        <f>'Derived 5Y Spreads'!O365</f>
        <v>model-derived</v>
      </c>
      <c r="I365" s="26" t="str">
        <f>'Derived 5Y Spreads'!A365</f>
        <v>ice-20260824-7bf9d81a3ef7</v>
      </c>
      <c r="J365" s="26" t="str">
        <f>'Derived 5Y Spreads'!D365</f>
        <v>ORCLE.SNRFOR.USD.XR14.100.2031-06-20</v>
      </c>
      <c r="K365" s="9" t="s">
        <v>12</v>
      </c>
    </row>
    <row r="366" spans="1:11" x14ac:dyDescent="0.25">
      <c r="A366" s="3">
        <v>46258</v>
      </c>
      <c r="B366" s="2" t="s">
        <v>14</v>
      </c>
      <c r="C366" s="18">
        <f>'Derived 5Y Spreads'!G366</f>
        <v>806.1392991612953</v>
      </c>
      <c r="D366" s="19">
        <f>C366-'Derived 5Y Spreads'!G359</f>
        <v>16.1392991612953</v>
      </c>
      <c r="E366" s="19">
        <f>C366-'Derived 5Y Spreads'!G331</f>
        <v>136.1392991612953</v>
      </c>
      <c r="F366" s="19">
        <f>C366-'Derived 5Y Spreads'!G219</f>
        <v>86.1392991612953</v>
      </c>
      <c r="G366" s="20">
        <f>'Derived 5Y Spreads'!E366</f>
        <v>90.0135</v>
      </c>
      <c r="H366" s="27" t="str">
        <f>'Derived 5Y Spreads'!O366</f>
        <v>model-derived</v>
      </c>
      <c r="I366" s="22" t="str">
        <f>'Derived 5Y Spreads'!A366</f>
        <v>ice-20260824-7bf9d81a3ef7</v>
      </c>
      <c r="J366" s="22" t="str">
        <f>'Derived 5Y Spreads'!D366</f>
        <v>COREWEI.SNRFOR.USD.XR14.500.2031-06-20</v>
      </c>
      <c r="K366" s="5" t="s">
        <v>12</v>
      </c>
    </row>
    <row r="367" spans="1:11" x14ac:dyDescent="0.25">
      <c r="A367" s="7">
        <v>46258</v>
      </c>
      <c r="B367" s="6" t="s">
        <v>17</v>
      </c>
      <c r="C367" s="23">
        <f>'Derived 5Y Spreads'!G367</f>
        <v>87.07546545214814</v>
      </c>
      <c r="D367" s="24">
        <f>C367-'Derived 5Y Spreads'!G360</f>
        <v>0.07546545214813705</v>
      </c>
      <c r="E367" s="24">
        <f>C367-'Derived 5Y Spreads'!G332</f>
        <v>5.075465452148137</v>
      </c>
      <c r="F367" s="24">
        <f>C367-'Derived 5Y Spreads'!G220</f>
        <v>17.075465452148137</v>
      </c>
      <c r="G367" s="25">
        <f>'Derived 5Y Spreads'!E367</f>
        <v>100.5487</v>
      </c>
      <c r="H367" s="27" t="str">
        <f>'Derived 5Y Spreads'!O367</f>
        <v>model-derived</v>
      </c>
      <c r="I367" s="26" t="str">
        <f>'Derived 5Y Spreads'!A367</f>
        <v>ice-20260824-7bf9d81a3ef7</v>
      </c>
      <c r="J367" s="26" t="str">
        <f>'Derived 5Y Spreads'!D367</f>
        <v>NVIDIA.SNRFOR.USD.XR14.100.2031-06-20</v>
      </c>
      <c r="K367" s="9" t="s">
        <v>12</v>
      </c>
    </row>
    <row r="368" spans="1:11" x14ac:dyDescent="0.25">
      <c r="A368" s="3">
        <v>46258</v>
      </c>
      <c r="B368" s="2" t="s">
        <v>20</v>
      </c>
      <c r="C368" s="18">
        <f>'Derived 5Y Spreads'!G368</f>
        <v>65.73355523599807</v>
      </c>
      <c r="D368" s="19">
        <f>C368-'Derived 5Y Spreads'!G361</f>
        <v>0.7335552359980682</v>
      </c>
      <c r="E368" s="19">
        <f>C368-'Derived 5Y Spreads'!G333</f>
        <v>7.593555235998068</v>
      </c>
      <c r="F368" s="19">
        <f>C368-'Derived 5Y Spreads'!G221</f>
        <v>3.5335552359980653</v>
      </c>
      <c r="G368" s="20">
        <f>'Derived 5Y Spreads'!E368</f>
        <v>101.4668</v>
      </c>
      <c r="H368" s="27" t="str">
        <f>'Derived 5Y Spreads'!O368</f>
        <v>model-derived</v>
      </c>
      <c r="I368" s="22" t="str">
        <f>'Derived 5Y Spreads'!A368</f>
        <v>ice-20260824-7bf9d81a3ef7</v>
      </c>
      <c r="J368" s="22" t="str">
        <f>'Derived 5Y Spreads'!D368</f>
        <v>AMZN.SNRFOR.USD.XR14.100.2031-06-20</v>
      </c>
      <c r="K368" s="5" t="s">
        <v>12</v>
      </c>
    </row>
    <row r="369" spans="1:11" x14ac:dyDescent="0.25">
      <c r="A369" s="7">
        <v>46258</v>
      </c>
      <c r="B369" s="6" t="s">
        <v>23</v>
      </c>
      <c r="C369" s="23">
        <f>'Derived 5Y Spreads'!G369</f>
        <v>59.408709349107504</v>
      </c>
      <c r="D369" s="24">
        <f>C369-'Derived 5Y Spreads'!G362</f>
        <v>0.4087093491075038</v>
      </c>
      <c r="E369" s="24">
        <f>C369-'Derived 5Y Spreads'!G334</f>
        <v>3.408709349107504</v>
      </c>
      <c r="F369" s="24">
        <f>C369-'Derived 5Y Spreads'!G222</f>
        <v>-4.591290650892496</v>
      </c>
      <c r="G369" s="25">
        <f>'Derived 5Y Spreads'!E369</f>
        <v>101.7418</v>
      </c>
      <c r="H369" s="27" t="str">
        <f>'Derived 5Y Spreads'!O369</f>
        <v>model-derived</v>
      </c>
      <c r="I369" s="26" t="str">
        <f>'Derived 5Y Spreads'!A369</f>
        <v>ice-20260824-7bf9d81a3ef7</v>
      </c>
      <c r="J369" s="26" t="str">
        <f>'Derived 5Y Spreads'!D369</f>
        <v>ALPHINC.SNRFOR.USD.XR14.100.2031-06-20</v>
      </c>
      <c r="K369" s="9" t="s">
        <v>12</v>
      </c>
    </row>
    <row r="370" spans="1:11" x14ac:dyDescent="0.25">
      <c r="A370" s="3">
        <v>46258</v>
      </c>
      <c r="B370" s="2" t="s">
        <v>26</v>
      </c>
      <c r="C370" s="18">
        <f>'Derived 5Y Spreads'!G370</f>
        <v>48.90425207812754</v>
      </c>
      <c r="D370" s="19">
        <f>C370-'Derived 5Y Spreads'!G363</f>
        <v>0.9042520781275414</v>
      </c>
      <c r="E370" s="19">
        <f>C370-'Derived 5Y Spreads'!G335</f>
        <v>3.9042520781275414</v>
      </c>
      <c r="F370" s="19">
        <f>C370-'Derived 5Y Spreads'!G223</f>
        <v>-0.69574792187246</v>
      </c>
      <c r="G370" s="20">
        <f>'Derived 5Y Spreads'!E370</f>
        <v>102.2015</v>
      </c>
      <c r="H370" s="27" t="str">
        <f>'Derived 5Y Spreads'!O370</f>
        <v>model-derived</v>
      </c>
      <c r="I370" s="22" t="str">
        <f>'Derived 5Y Spreads'!A370</f>
        <v>ice-20260824-7bf9d81a3ef7</v>
      </c>
      <c r="J370" s="22" t="str">
        <f>'Derived 5Y Spreads'!D370</f>
        <v>MSFT.SNRFOR.USD.XR14.100.2031-06-20</v>
      </c>
      <c r="K370" s="5" t="s">
        <v>12</v>
      </c>
    </row>
    <row r="371" spans="1:11" x14ac:dyDescent="0.25">
      <c r="A371" s="7">
        <v>46258</v>
      </c>
      <c r="B371" s="6" t="s">
        <v>29</v>
      </c>
      <c r="C371" s="23">
        <f>'Derived 5Y Spreads'!G371</f>
        <v>97.08682120313722</v>
      </c>
      <c r="D371" s="24">
        <f>C371-'Derived 5Y Spreads'!G364</f>
        <v>1.0868212031372195</v>
      </c>
      <c r="E371" s="24">
        <f>C371-'Derived 5Y Spreads'!G336</f>
        <v>8.83682120313722</v>
      </c>
      <c r="F371" s="24">
        <f>C371-'Derived 5Y Spreads'!G224</f>
        <v>12.486821203137225</v>
      </c>
      <c r="G371" s="25">
        <f>'Derived 5Y Spreads'!E371</f>
        <v>100.1232</v>
      </c>
      <c r="H371" s="27" t="str">
        <f>'Derived 5Y Spreads'!O371</f>
        <v>model-derived</v>
      </c>
      <c r="I371" s="26" t="str">
        <f>'Derived 5Y Spreads'!A371</f>
        <v>ice-20260824-7bf9d81a3ef7</v>
      </c>
      <c r="J371" s="26" t="str">
        <f>'Derived 5Y Spreads'!D371</f>
        <v>METAPL.SNRFOR.USD.XR14.100.2031-06-20</v>
      </c>
      <c r="K371" s="9" t="s">
        <v>12</v>
      </c>
    </row>
  </sheetData>
  <autoFilter ref="A1:K1"/>
  <hyperlinks>
    <hyperlink ref="K365" r:id="rId1" tooltip="https://www.ice.com/cds-settlement-prices/icc/single-name-instruments"/>
    <hyperlink ref="K366" r:id="rId2" tooltip="https://www.ice.com/cds-settlement-prices/icc/single-name-instruments"/>
    <hyperlink ref="K367" r:id="rId3" tooltip="https://www.ice.com/cds-settlement-prices/icc/single-name-instruments"/>
    <hyperlink ref="K368" r:id="rId4" tooltip="https://www.ice.com/cds-settlement-prices/icc/single-name-instruments"/>
    <hyperlink ref="K369" r:id="rId5" tooltip="https://www.ice.com/cds-settlement-prices/icc/single-name-instruments"/>
    <hyperlink ref="K370" r:id="rId6" tooltip="https://www.ice.com/cds-settlement-prices/icc/single-name-instruments"/>
    <hyperlink ref="K371" r:id="rId7" tooltip="https://www.ice.com/cds-settlement-prices/icc/single-name-instruments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18" outlineLevelRow="0" outlineLevelCol="0" x14ac:dyDescent="55" customHeight="1"/>
  <cols>
    <col min="1" max="1" width="30" customWidth="1"/>
    <col min="2" max="2" width="14" customWidth="1"/>
    <col min="3" max="4" width="12" customWidth="1"/>
    <col min="5" max="5" width="22" customWidth="1"/>
    <col min="6" max="6" width="26" customWidth="1"/>
    <col min="7" max="7" width="18" customWidth="1"/>
  </cols>
  <sheetData>
    <row r="1" ht="28" customHeight="1" spans="1:7" x14ac:dyDescent="0.25">
      <c r="A1" s="1" t="s">
        <v>38</v>
      </c>
      <c r="B1" s="1" t="s">
        <v>62</v>
      </c>
      <c r="C1" s="1" t="s">
        <v>63</v>
      </c>
      <c r="D1" s="1" t="s">
        <v>64</v>
      </c>
      <c r="E1" s="1" t="s">
        <v>65</v>
      </c>
      <c r="F1" s="1" t="s">
        <v>66</v>
      </c>
      <c r="G1" s="1" t="s">
        <v>6</v>
      </c>
    </row>
    <row r="2" spans="1:7" x14ac:dyDescent="0.25">
      <c r="A2" s="2" t="s">
        <v>55</v>
      </c>
      <c r="B2" s="3">
        <v>46258</v>
      </c>
      <c r="C2" s="2" t="s">
        <v>67</v>
      </c>
      <c r="D2" s="10">
        <v>0.08333333333333333</v>
      </c>
      <c r="E2" s="28">
        <v>0.0379</v>
      </c>
      <c r="F2" s="2" t="s">
        <v>68</v>
      </c>
      <c r="G2" s="5" t="s">
        <v>12</v>
      </c>
    </row>
    <row r="3" spans="1:7" x14ac:dyDescent="0.25">
      <c r="A3" s="6" t="s">
        <v>55</v>
      </c>
      <c r="B3" s="7">
        <v>46258</v>
      </c>
      <c r="C3" s="6" t="s">
        <v>67</v>
      </c>
      <c r="D3" s="14">
        <v>0.125</v>
      </c>
      <c r="E3" s="29">
        <v>0.0378</v>
      </c>
      <c r="F3" s="6" t="s">
        <v>68</v>
      </c>
      <c r="G3" s="9" t="s">
        <v>12</v>
      </c>
    </row>
    <row r="4" spans="1:7" x14ac:dyDescent="0.25">
      <c r="A4" s="2" t="s">
        <v>55</v>
      </c>
      <c r="B4" s="3">
        <v>46258</v>
      </c>
      <c r="C4" s="2" t="s">
        <v>67</v>
      </c>
      <c r="D4" s="10">
        <v>0.16666666666666666</v>
      </c>
      <c r="E4" s="28">
        <v>0.038</v>
      </c>
      <c r="F4" s="2" t="s">
        <v>68</v>
      </c>
      <c r="G4" s="5" t="s">
        <v>12</v>
      </c>
    </row>
    <row r="5" spans="1:7" x14ac:dyDescent="0.25">
      <c r="A5" s="6" t="s">
        <v>55</v>
      </c>
      <c r="B5" s="7">
        <v>46258</v>
      </c>
      <c r="C5" s="6" t="s">
        <v>67</v>
      </c>
      <c r="D5" s="14">
        <v>0.25</v>
      </c>
      <c r="E5" s="29">
        <v>0.0387</v>
      </c>
      <c r="F5" s="6" t="s">
        <v>68</v>
      </c>
      <c r="G5" s="9" t="s">
        <v>12</v>
      </c>
    </row>
    <row r="6" spans="1:7" x14ac:dyDescent="0.25">
      <c r="A6" s="2" t="s">
        <v>55</v>
      </c>
      <c r="B6" s="3">
        <v>46258</v>
      </c>
      <c r="C6" s="2" t="s">
        <v>67</v>
      </c>
      <c r="D6" s="10">
        <v>0.3333333333333333</v>
      </c>
      <c r="E6" s="28">
        <v>0.039</v>
      </c>
      <c r="F6" s="2" t="s">
        <v>68</v>
      </c>
      <c r="G6" s="5" t="s">
        <v>12</v>
      </c>
    </row>
    <row r="7" spans="1:7" x14ac:dyDescent="0.25">
      <c r="A7" s="6" t="s">
        <v>55</v>
      </c>
      <c r="B7" s="7">
        <v>46258</v>
      </c>
      <c r="C7" s="6" t="s">
        <v>67</v>
      </c>
      <c r="D7" s="14">
        <v>0.5</v>
      </c>
      <c r="E7" s="29">
        <v>0.039599999999999996</v>
      </c>
      <c r="F7" s="6" t="s">
        <v>68</v>
      </c>
      <c r="G7" s="9" t="s">
        <v>12</v>
      </c>
    </row>
    <row r="8" spans="1:7" x14ac:dyDescent="0.25">
      <c r="A8" s="2" t="s">
        <v>55</v>
      </c>
      <c r="B8" s="3">
        <v>46258</v>
      </c>
      <c r="C8" s="2" t="s">
        <v>67</v>
      </c>
      <c r="D8" s="10">
        <v>1</v>
      </c>
      <c r="E8" s="28">
        <v>0.0404</v>
      </c>
      <c r="F8" s="2" t="s">
        <v>68</v>
      </c>
      <c r="G8" s="5" t="s">
        <v>12</v>
      </c>
    </row>
    <row r="9" spans="1:7" x14ac:dyDescent="0.25">
      <c r="A9" s="6" t="s">
        <v>55</v>
      </c>
      <c r="B9" s="7">
        <v>46258</v>
      </c>
      <c r="C9" s="6" t="s">
        <v>67</v>
      </c>
      <c r="D9" s="14">
        <v>2</v>
      </c>
      <c r="E9" s="29">
        <v>0.0424</v>
      </c>
      <c r="F9" s="6" t="s">
        <v>68</v>
      </c>
      <c r="G9" s="9" t="s">
        <v>12</v>
      </c>
    </row>
    <row r="10" spans="1:7" x14ac:dyDescent="0.25">
      <c r="A10" s="2" t="s">
        <v>55</v>
      </c>
      <c r="B10" s="3">
        <v>46258</v>
      </c>
      <c r="C10" s="2" t="s">
        <v>67</v>
      </c>
      <c r="D10" s="10">
        <v>3</v>
      </c>
      <c r="E10" s="28">
        <v>0.0431</v>
      </c>
      <c r="F10" s="2" t="s">
        <v>68</v>
      </c>
      <c r="G10" s="5" t="s">
        <v>12</v>
      </c>
    </row>
    <row r="11" spans="1:7" x14ac:dyDescent="0.25">
      <c r="A11" s="6" t="s">
        <v>55</v>
      </c>
      <c r="B11" s="7">
        <v>46258</v>
      </c>
      <c r="C11" s="6" t="s">
        <v>67</v>
      </c>
      <c r="D11" s="14">
        <v>5</v>
      </c>
      <c r="E11" s="29">
        <v>0.0441</v>
      </c>
      <c r="F11" s="6" t="s">
        <v>68</v>
      </c>
      <c r="G11" s="9" t="s">
        <v>12</v>
      </c>
    </row>
    <row r="12" spans="1:7" x14ac:dyDescent="0.25">
      <c r="A12" s="2" t="s">
        <v>55</v>
      </c>
      <c r="B12" s="3">
        <v>46258</v>
      </c>
      <c r="C12" s="2" t="s">
        <v>67</v>
      </c>
      <c r="D12" s="10">
        <v>7</v>
      </c>
      <c r="E12" s="28">
        <v>0.0455</v>
      </c>
      <c r="F12" s="2" t="s">
        <v>68</v>
      </c>
      <c r="G12" s="5" t="s">
        <v>12</v>
      </c>
    </row>
    <row r="13" spans="1:7" x14ac:dyDescent="0.25">
      <c r="A13" s="6" t="s">
        <v>55</v>
      </c>
      <c r="B13" s="7">
        <v>46258</v>
      </c>
      <c r="C13" s="6" t="s">
        <v>67</v>
      </c>
      <c r="D13" s="14">
        <v>10</v>
      </c>
      <c r="E13" s="29">
        <v>0.047</v>
      </c>
      <c r="F13" s="6" t="s">
        <v>68</v>
      </c>
      <c r="G13" s="9" t="s">
        <v>12</v>
      </c>
    </row>
    <row r="14" spans="1:7" x14ac:dyDescent="0.25">
      <c r="A14" s="2" t="s">
        <v>55</v>
      </c>
      <c r="B14" s="3">
        <v>46258</v>
      </c>
      <c r="C14" s="2" t="s">
        <v>67</v>
      </c>
      <c r="D14" s="10">
        <v>20</v>
      </c>
      <c r="E14" s="28">
        <v>0.0521</v>
      </c>
      <c r="F14" s="2" t="s">
        <v>68</v>
      </c>
      <c r="G14" s="5" t="s">
        <v>12</v>
      </c>
    </row>
    <row r="15" spans="1:7" x14ac:dyDescent="0.25">
      <c r="A15" s="6" t="s">
        <v>55</v>
      </c>
      <c r="B15" s="7">
        <v>46258</v>
      </c>
      <c r="C15" s="6" t="s">
        <v>67</v>
      </c>
      <c r="D15" s="14">
        <v>30</v>
      </c>
      <c r="E15" s="29">
        <v>0.052300000000000006</v>
      </c>
      <c r="F15" s="6" t="s">
        <v>68</v>
      </c>
      <c r="G15" s="9" t="s">
        <v>12</v>
      </c>
    </row>
  </sheetData>
  <autoFilter ref="A1:G1"/>
  <hyperlinks>
    <hyperlink ref="G2" r:id="rId1" tooltip="https://home.treasury.gov/resource-center/data-chart-center/interest-rates"/>
    <hyperlink ref="G3" r:id="rId2" tooltip="https://home.treasury.gov/resource-center/data-chart-center/interest-rates"/>
    <hyperlink ref="G4" r:id="rId3" tooltip="https://home.treasury.gov/resource-center/data-chart-center/interest-rates"/>
    <hyperlink ref="G5" r:id="rId4" tooltip="https://home.treasury.gov/resource-center/data-chart-center/interest-rates"/>
    <hyperlink ref="G6" r:id="rId5" tooltip="https://home.treasury.gov/resource-center/data-chart-center/interest-rates"/>
    <hyperlink ref="G7" r:id="rId6" tooltip="https://home.treasury.gov/resource-center/data-chart-center/interest-rates"/>
    <hyperlink ref="G8" r:id="rId7" tooltip="https://home.treasury.gov/resource-center/data-chart-center/interest-rates"/>
    <hyperlink ref="G9" r:id="rId8" tooltip="https://home.treasury.gov/resource-center/data-chart-center/interest-rates"/>
    <hyperlink ref="G10" r:id="rId9" tooltip="https://home.treasury.gov/resource-center/data-chart-center/interest-rates"/>
    <hyperlink ref="G11" r:id="rId10" tooltip="https://home.treasury.gov/resource-center/data-chart-center/interest-rates"/>
    <hyperlink ref="G12" r:id="rId11" tooltip="https://home.treasury.gov/resource-center/data-chart-center/interest-rates"/>
    <hyperlink ref="G13" r:id="rId12" tooltip="https://home.treasury.gov/resource-center/data-chart-center/interest-rates"/>
    <hyperlink ref="G14" r:id="rId13" tooltip="https://home.treasury.gov/resource-center/data-chart-center/interest-rates"/>
    <hyperlink ref="G15" r:id="rId14" tooltip="https://home.treasury.gov/resource-center/data-chart-center/interest-rates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18" outlineLevelRow="0" outlineLevelCol="0" x14ac:dyDescent="55" customHeight="1"/>
  <cols>
    <col min="1" max="1" width="18" customWidth="1"/>
    <col min="2" max="2" width="52" customWidth="1"/>
    <col min="3" max="3" width="18" customWidth="1"/>
    <col min="4" max="4" width="12" customWidth="1"/>
    <col min="5" max="5" width="14" customWidth="1"/>
    <col min="6" max="6" width="18" customWidth="1"/>
    <col min="7" max="7" width="14" customWidth="1"/>
  </cols>
  <sheetData>
    <row r="1" ht="28" customHeight="1" spans="1:7" x14ac:dyDescent="0.25">
      <c r="A1" s="1" t="s">
        <v>2</v>
      </c>
      <c r="B1" s="1" t="s">
        <v>69</v>
      </c>
      <c r="C1" s="1" t="s">
        <v>70</v>
      </c>
      <c r="D1" s="1" t="s">
        <v>63</v>
      </c>
      <c r="E1" s="1" t="s">
        <v>71</v>
      </c>
      <c r="F1" s="1" t="s">
        <v>72</v>
      </c>
      <c r="G1" s="1" t="s">
        <v>32</v>
      </c>
    </row>
    <row r="2" spans="1:7" x14ac:dyDescent="0.25">
      <c r="A2" s="2" t="s">
        <v>9</v>
      </c>
      <c r="B2" s="2" t="s">
        <v>73</v>
      </c>
      <c r="C2" s="2" t="s">
        <v>74</v>
      </c>
      <c r="D2" s="2" t="s">
        <v>67</v>
      </c>
      <c r="E2" s="2" t="s">
        <v>75</v>
      </c>
      <c r="F2" s="2" t="s">
        <v>76</v>
      </c>
      <c r="G2" s="10">
        <v>100</v>
      </c>
    </row>
    <row r="3" spans="1:7" x14ac:dyDescent="0.25">
      <c r="A3" s="6" t="s">
        <v>14</v>
      </c>
      <c r="B3" s="6" t="s">
        <v>77</v>
      </c>
      <c r="C3" s="6" t="s">
        <v>78</v>
      </c>
      <c r="D3" s="6" t="s">
        <v>67</v>
      </c>
      <c r="E3" s="6" t="s">
        <v>75</v>
      </c>
      <c r="F3" s="6" t="s">
        <v>76</v>
      </c>
      <c r="G3" s="14">
        <v>500</v>
      </c>
    </row>
    <row r="4" spans="1:7" x14ac:dyDescent="0.25">
      <c r="A4" s="2" t="s">
        <v>17</v>
      </c>
      <c r="B4" s="2" t="s">
        <v>79</v>
      </c>
      <c r="C4" s="2" t="s">
        <v>80</v>
      </c>
      <c r="D4" s="2" t="s">
        <v>67</v>
      </c>
      <c r="E4" s="2" t="s">
        <v>75</v>
      </c>
      <c r="F4" s="2" t="s">
        <v>76</v>
      </c>
      <c r="G4" s="10">
        <v>100</v>
      </c>
    </row>
    <row r="5" spans="1:7" x14ac:dyDescent="0.25">
      <c r="A5" s="6" t="s">
        <v>20</v>
      </c>
      <c r="B5" s="6" t="s">
        <v>81</v>
      </c>
      <c r="C5" s="6" t="s">
        <v>82</v>
      </c>
      <c r="D5" s="6" t="s">
        <v>67</v>
      </c>
      <c r="E5" s="6" t="s">
        <v>75</v>
      </c>
      <c r="F5" s="6" t="s">
        <v>76</v>
      </c>
      <c r="G5" s="14">
        <v>100</v>
      </c>
    </row>
    <row r="6" spans="1:7" x14ac:dyDescent="0.25">
      <c r="A6" s="2" t="s">
        <v>23</v>
      </c>
      <c r="B6" s="2" t="s">
        <v>83</v>
      </c>
      <c r="C6" s="2" t="s">
        <v>84</v>
      </c>
      <c r="D6" s="2" t="s">
        <v>67</v>
      </c>
      <c r="E6" s="2" t="s">
        <v>75</v>
      </c>
      <c r="F6" s="2" t="s">
        <v>76</v>
      </c>
      <c r="G6" s="10">
        <v>100</v>
      </c>
    </row>
    <row r="7" spans="1:7" x14ac:dyDescent="0.25">
      <c r="A7" s="6" t="s">
        <v>26</v>
      </c>
      <c r="B7" s="6" t="s">
        <v>85</v>
      </c>
      <c r="C7" s="6" t="s">
        <v>86</v>
      </c>
      <c r="D7" s="6" t="s">
        <v>67</v>
      </c>
      <c r="E7" s="6" t="s">
        <v>75</v>
      </c>
      <c r="F7" s="6" t="s">
        <v>76</v>
      </c>
      <c r="G7" s="14">
        <v>100</v>
      </c>
    </row>
    <row r="8" spans="1:7" x14ac:dyDescent="0.25">
      <c r="A8" s="2" t="s">
        <v>29</v>
      </c>
      <c r="B8" s="2" t="s">
        <v>87</v>
      </c>
      <c r="C8" s="2" t="s">
        <v>88</v>
      </c>
      <c r="D8" s="2" t="s">
        <v>67</v>
      </c>
      <c r="E8" s="2" t="s">
        <v>75</v>
      </c>
      <c r="F8" s="2" t="s">
        <v>76</v>
      </c>
      <c r="G8" s="10">
        <v>100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18" outlineLevelRow="0" outlineLevelCol="0" x14ac:dyDescent="55" customHeight="1"/>
  <cols>
    <col min="1" max="1" width="24" customWidth="1"/>
    <col min="2" max="2" width="25" customWidth="1"/>
    <col min="3" max="3" width="14" customWidth="1"/>
    <col min="4" max="4" width="24" customWidth="1"/>
    <col min="5" max="5" width="18" customWidth="1"/>
    <col min="6" max="6" width="60" customWidth="1"/>
  </cols>
  <sheetData>
    <row r="1" ht="28" customHeight="1" spans="1:6" x14ac:dyDescent="0.25">
      <c r="A1" s="1" t="s">
        <v>0</v>
      </c>
      <c r="B1" s="1" t="s">
        <v>89</v>
      </c>
      <c r="C1" s="1" t="s">
        <v>90</v>
      </c>
      <c r="D1" s="1" t="s">
        <v>91</v>
      </c>
      <c r="E1" s="1" t="s">
        <v>2</v>
      </c>
      <c r="F1" s="1" t="s">
        <v>92</v>
      </c>
    </row>
    <row r="2" spans="1:6" x14ac:dyDescent="0.25">
      <c r="A2" s="2" t="s">
        <v>93</v>
      </c>
      <c r="B2" s="2" t="s">
        <v>94</v>
      </c>
      <c r="C2" s="2" t="s">
        <v>95</v>
      </c>
      <c r="D2" s="2" t="s">
        <v>96</v>
      </c>
      <c r="E2" s="2" t="s">
        <v>97</v>
      </c>
      <c r="F2" s="30" t="s">
        <v>98</v>
      </c>
    </row>
    <row r="3" spans="1:6" x14ac:dyDescent="0.25">
      <c r="A3" s="6" t="s">
        <v>8</v>
      </c>
      <c r="B3" s="6" t="s">
        <v>99</v>
      </c>
      <c r="C3" s="31" t="s">
        <v>100</v>
      </c>
      <c r="D3" s="6" t="s">
        <v>57</v>
      </c>
      <c r="E3" s="6" t="s">
        <v>9</v>
      </c>
      <c r="F3" s="32" t="s">
        <v>101</v>
      </c>
    </row>
    <row r="4" spans="1:6" x14ac:dyDescent="0.25">
      <c r="A4" s="2" t="s">
        <v>8</v>
      </c>
      <c r="B4" s="2" t="s">
        <v>99</v>
      </c>
      <c r="C4" s="31" t="s">
        <v>100</v>
      </c>
      <c r="D4" s="2" t="s">
        <v>57</v>
      </c>
      <c r="E4" s="2" t="s">
        <v>14</v>
      </c>
      <c r="F4" s="30" t="s">
        <v>101</v>
      </c>
    </row>
    <row r="5" spans="1:6" x14ac:dyDescent="0.25">
      <c r="A5" s="6" t="s">
        <v>8</v>
      </c>
      <c r="B5" s="6" t="s">
        <v>99</v>
      </c>
      <c r="C5" s="31" t="s">
        <v>100</v>
      </c>
      <c r="D5" s="6" t="s">
        <v>57</v>
      </c>
      <c r="E5" s="6" t="s">
        <v>17</v>
      </c>
      <c r="F5" s="32" t="s">
        <v>101</v>
      </c>
    </row>
    <row r="6" spans="1:6" x14ac:dyDescent="0.25">
      <c r="A6" s="2" t="s">
        <v>8</v>
      </c>
      <c r="B6" s="2" t="s">
        <v>99</v>
      </c>
      <c r="C6" s="31" t="s">
        <v>100</v>
      </c>
      <c r="D6" s="2" t="s">
        <v>57</v>
      </c>
      <c r="E6" s="2" t="s">
        <v>20</v>
      </c>
      <c r="F6" s="30" t="s">
        <v>101</v>
      </c>
    </row>
    <row r="7" spans="1:6" x14ac:dyDescent="0.25">
      <c r="A7" s="6" t="s">
        <v>8</v>
      </c>
      <c r="B7" s="6" t="s">
        <v>99</v>
      </c>
      <c r="C7" s="31" t="s">
        <v>100</v>
      </c>
      <c r="D7" s="6" t="s">
        <v>57</v>
      </c>
      <c r="E7" s="6" t="s">
        <v>23</v>
      </c>
      <c r="F7" s="32" t="s">
        <v>101</v>
      </c>
    </row>
    <row r="8" spans="1:6" x14ac:dyDescent="0.25">
      <c r="A8" s="2" t="s">
        <v>8</v>
      </c>
      <c r="B8" s="2" t="s">
        <v>99</v>
      </c>
      <c r="C8" s="31" t="s">
        <v>100</v>
      </c>
      <c r="D8" s="2" t="s">
        <v>57</v>
      </c>
      <c r="E8" s="2" t="s">
        <v>26</v>
      </c>
      <c r="F8" s="30" t="s">
        <v>101</v>
      </c>
    </row>
    <row r="9" spans="1:6" x14ac:dyDescent="0.25">
      <c r="A9" s="6" t="s">
        <v>8</v>
      </c>
      <c r="B9" s="6" t="s">
        <v>99</v>
      </c>
      <c r="C9" s="31" t="s">
        <v>100</v>
      </c>
      <c r="D9" s="6" t="s">
        <v>57</v>
      </c>
      <c r="E9" s="6" t="s">
        <v>29</v>
      </c>
      <c r="F9" s="32" t="s">
        <v>101</v>
      </c>
    </row>
    <row r="10" spans="1:6" x14ac:dyDescent="0.25">
      <c r="A10" s="2" t="s">
        <v>44</v>
      </c>
      <c r="B10" s="2" t="s">
        <v>102</v>
      </c>
      <c r="C10" s="31" t="s">
        <v>100</v>
      </c>
      <c r="D10" s="2" t="s">
        <v>103</v>
      </c>
      <c r="E10" s="2" t="s">
        <v>97</v>
      </c>
      <c r="F10" s="30" t="s">
        <v>104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18" outlineLevelRow="0" outlineLevelCol="0" x14ac:dyDescent="55" customHeight="1"/>
  <cols>
    <col min="1" max="1" width="34" customWidth="1"/>
    <col min="2" max="2" width="100" customWidth="1"/>
  </cols>
  <sheetData>
    <row r="1" ht="28" customHeight="1" spans="1:2" x14ac:dyDescent="0.25">
      <c r="A1" s="1" t="s">
        <v>105</v>
      </c>
      <c r="B1" s="1" t="s">
        <v>106</v>
      </c>
    </row>
    <row r="2" spans="1:2" x14ac:dyDescent="0.25">
      <c r="A2" s="2" t="s">
        <v>107</v>
      </c>
      <c r="B2" s="33">
        <v>1</v>
      </c>
    </row>
    <row r="3" spans="1:2" x14ac:dyDescent="0.25">
      <c r="A3" s="6" t="s">
        <v>108</v>
      </c>
      <c r="B3" s="34" t="s">
        <v>8</v>
      </c>
    </row>
    <row r="4" spans="1:2" x14ac:dyDescent="0.25">
      <c r="A4" s="2" t="s">
        <v>109</v>
      </c>
      <c r="B4" s="33" t="s">
        <v>13</v>
      </c>
    </row>
    <row r="5" spans="1:2" x14ac:dyDescent="0.25">
      <c r="A5" s="6" t="s">
        <v>110</v>
      </c>
      <c r="B5" s="34" t="s">
        <v>56</v>
      </c>
    </row>
    <row r="6" spans="1:2" x14ac:dyDescent="0.25">
      <c r="A6" s="2" t="s">
        <v>111</v>
      </c>
      <c r="B6" s="35">
        <v>0.005</v>
      </c>
    </row>
    <row r="7" spans="1:2" x14ac:dyDescent="0.25">
      <c r="A7" s="6" t="s">
        <v>112</v>
      </c>
      <c r="B7" s="36">
        <v>0.01</v>
      </c>
    </row>
    <row r="8" spans="1:2" x14ac:dyDescent="0.25">
      <c r="A8" s="2" t="s">
        <v>113</v>
      </c>
      <c r="B8" s="33" t="s">
        <v>114</v>
      </c>
    </row>
    <row r="9" spans="1:2" x14ac:dyDescent="0.25">
      <c r="A9" s="6" t="s">
        <v>115</v>
      </c>
      <c r="B9" s="34" t="s">
        <v>116</v>
      </c>
    </row>
    <row r="10" spans="1:2" x14ac:dyDescent="0.25">
      <c r="A10" s="2" t="s">
        <v>117</v>
      </c>
      <c r="B10" s="33" t="s">
        <v>118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Raw EOD Prices</vt:lpstr>
      <vt:lpstr>Derived 5Y Spreads</vt:lpstr>
      <vt:lpstr>Daily Dashboard</vt:lpstr>
      <vt:lpstr>Discount Curves</vt:lpstr>
      <vt:lpstr>Contract Registry</vt:lpstr>
      <vt:lpstr>Validation Log</vt:lpstr>
      <vt:lpstr>Methodology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 Investment Dashboard</dc:creator>
  <dc:title/>
  <dc:subject/>
  <dc:description/>
  <cp:keywords/>
  <cp:category/>
  <cp:lastModifiedBy>AI Investment Dashboard</cp:lastModifiedBy>
  <dcterms:created xsi:type="dcterms:W3CDTF">2026-08-25T08:30:08Z</dcterms:created>
  <dcterms:modified xsi:type="dcterms:W3CDTF">2026-08-25T08:30:08Z</dcterms:modified>
</cp:coreProperties>
</file>